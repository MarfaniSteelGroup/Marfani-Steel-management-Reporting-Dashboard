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-2\Dropbox\Marfani Projects\Marfani Steel Reportings\data\"/>
    </mc:Choice>
  </mc:AlternateContent>
  <xr:revisionPtr revIDLastSave="0" documentId="13_ncr:1_{A6732E89-80D0-4B5B-A2E6-2E5B639AFE7C}" xr6:coauthVersionLast="47" xr6:coauthVersionMax="47" xr10:uidLastSave="{00000000-0000-0000-0000-000000000000}"/>
  <bookViews>
    <workbookView xWindow="-108" yWindow="-108" windowWidth="23256" windowHeight="12456" xr2:uid="{A600BC22-BC84-4799-95E7-AAC4792B97D7}"/>
  </bookViews>
  <sheets>
    <sheet name="Compele Data Sheet" sheetId="1" r:id="rId1"/>
  </sheets>
  <definedNames>
    <definedName name="_xlnm._FilterDatabase" localSheetId="0" hidden="1">'Compele Data Sheet'!$A$3:$CV$127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27" i="1" l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CL127" i="1"/>
  <c r="CN127" i="1" s="1"/>
  <c r="CO127" i="1" s="1"/>
  <c r="CQ127" i="1" s="1"/>
  <c r="CJ127" i="1"/>
  <c r="BI127" i="1"/>
  <c r="CL126" i="1"/>
  <c r="CN126" i="1" s="1"/>
  <c r="CO126" i="1" s="1"/>
  <c r="CQ126" i="1" s="1"/>
  <c r="CJ126" i="1"/>
  <c r="BI126" i="1"/>
  <c r="CL125" i="1"/>
  <c r="CN125" i="1" s="1"/>
  <c r="CO125" i="1" s="1"/>
  <c r="CQ125" i="1" s="1"/>
  <c r="CJ125" i="1"/>
  <c r="BI125" i="1"/>
  <c r="CL124" i="1"/>
  <c r="CN124" i="1" s="1"/>
  <c r="CO124" i="1" s="1"/>
  <c r="CQ124" i="1" s="1"/>
  <c r="CJ124" i="1"/>
  <c r="BI124" i="1"/>
  <c r="V124" i="1"/>
  <c r="CL123" i="1"/>
  <c r="CN123" i="1" s="1"/>
  <c r="CO123" i="1" s="1"/>
  <c r="CQ123" i="1" s="1"/>
  <c r="CJ123" i="1"/>
  <c r="BI123" i="1"/>
  <c r="V123" i="1"/>
  <c r="CL122" i="1"/>
  <c r="CN122" i="1" s="1"/>
  <c r="CO122" i="1" s="1"/>
  <c r="CQ122" i="1" s="1"/>
  <c r="CJ122" i="1"/>
  <c r="BI122" i="1"/>
  <c r="CL121" i="1"/>
  <c r="CN121" i="1" s="1"/>
  <c r="CO121" i="1" s="1"/>
  <c r="CQ121" i="1" s="1"/>
  <c r="CJ121" i="1"/>
  <c r="BL121" i="1"/>
  <c r="BE121" i="1"/>
  <c r="BH121" i="1" s="1"/>
  <c r="BI121" i="1" s="1"/>
  <c r="G121" i="1"/>
  <c r="CL120" i="1"/>
  <c r="CN120" i="1" s="1"/>
  <c r="CO120" i="1" s="1"/>
  <c r="CQ120" i="1" s="1"/>
  <c r="CJ120" i="1"/>
  <c r="BI120" i="1"/>
  <c r="CL119" i="1"/>
  <c r="CN119" i="1" s="1"/>
  <c r="CO119" i="1" s="1"/>
  <c r="CQ119" i="1" s="1"/>
  <c r="CJ119" i="1"/>
  <c r="BP119" i="1"/>
  <c r="BE119" i="1"/>
  <c r="BH119" i="1" s="1"/>
  <c r="V119" i="1"/>
  <c r="X119" i="1" s="1"/>
  <c r="CL118" i="1"/>
  <c r="CN118" i="1" s="1"/>
  <c r="CO118" i="1" s="1"/>
  <c r="CQ118" i="1" s="1"/>
  <c r="CJ118" i="1"/>
  <c r="BP118" i="1"/>
  <c r="BE118" i="1"/>
  <c r="BH118" i="1" s="1"/>
  <c r="V118" i="1"/>
  <c r="X118" i="1" s="1"/>
  <c r="CL117" i="1"/>
  <c r="CN117" i="1" s="1"/>
  <c r="CO117" i="1" s="1"/>
  <c r="CQ117" i="1" s="1"/>
  <c r="CJ117" i="1"/>
  <c r="BP117" i="1"/>
  <c r="BE117" i="1"/>
  <c r="BH117" i="1" s="1"/>
  <c r="V117" i="1"/>
  <c r="X117" i="1" s="1"/>
  <c r="CL116" i="1"/>
  <c r="CN116" i="1" s="1"/>
  <c r="CO116" i="1" s="1"/>
  <c r="CQ116" i="1" s="1"/>
  <c r="CJ116" i="1"/>
  <c r="BP116" i="1"/>
  <c r="BE116" i="1"/>
  <c r="BH116" i="1" s="1"/>
  <c r="V116" i="1"/>
  <c r="X116" i="1" s="1"/>
  <c r="G116" i="1"/>
  <c r="B116" i="1"/>
  <c r="CL115" i="1"/>
  <c r="CN115" i="1" s="1"/>
  <c r="CO115" i="1" s="1"/>
  <c r="CQ115" i="1" s="1"/>
  <c r="CJ115" i="1"/>
  <c r="BP115" i="1"/>
  <c r="BH115" i="1"/>
  <c r="BJ115" i="1" s="1"/>
  <c r="BL115" i="1" s="1"/>
  <c r="BE115" i="1"/>
  <c r="V115" i="1"/>
  <c r="X115" i="1" s="1"/>
  <c r="G115" i="1"/>
  <c r="B115" i="1"/>
  <c r="CL114" i="1"/>
  <c r="CN114" i="1" s="1"/>
  <c r="CO114" i="1" s="1"/>
  <c r="CQ114" i="1" s="1"/>
  <c r="CJ114" i="1"/>
  <c r="BP114" i="1"/>
  <c r="BH114" i="1"/>
  <c r="BJ114" i="1" s="1"/>
  <c r="BL114" i="1" s="1"/>
  <c r="BE114" i="1"/>
  <c r="V114" i="1"/>
  <c r="X114" i="1" s="1"/>
  <c r="G114" i="1"/>
  <c r="B114" i="1"/>
  <c r="CR113" i="1"/>
  <c r="CO113" i="1"/>
  <c r="CQ113" i="1" s="1"/>
  <c r="CL113" i="1"/>
  <c r="CJ113" i="1"/>
  <c r="BZ113" i="1"/>
  <c r="BQ113" i="1"/>
  <c r="BP113" i="1"/>
  <c r="BE113" i="1"/>
  <c r="BH113" i="1" s="1"/>
  <c r="V113" i="1"/>
  <c r="X113" i="1" s="1"/>
  <c r="B113" i="1"/>
  <c r="CR112" i="1"/>
  <c r="CO112" i="1"/>
  <c r="CQ112" i="1" s="1"/>
  <c r="CK112" i="1"/>
  <c r="CL112" i="1" s="1"/>
  <c r="CJ112" i="1"/>
  <c r="BZ112" i="1"/>
  <c r="BQ112" i="1"/>
  <c r="BP112" i="1"/>
  <c r="BE112" i="1"/>
  <c r="BH112" i="1" s="1"/>
  <c r="BB112" i="1"/>
  <c r="X112" i="1"/>
  <c r="V112" i="1"/>
  <c r="B112" i="1"/>
  <c r="CL111" i="1"/>
  <c r="CN111" i="1" s="1"/>
  <c r="CO111" i="1" s="1"/>
  <c r="CQ111" i="1" s="1"/>
  <c r="CJ111" i="1"/>
  <c r="BQ111" i="1"/>
  <c r="BN111" i="1"/>
  <c r="BO111" i="1" s="1"/>
  <c r="BE111" i="1"/>
  <c r="BH111" i="1" s="1"/>
  <c r="V111" i="1"/>
  <c r="X111" i="1" s="1"/>
  <c r="G111" i="1"/>
  <c r="B111" i="1"/>
  <c r="CL110" i="1"/>
  <c r="CN110" i="1" s="1"/>
  <c r="CO110" i="1" s="1"/>
  <c r="CQ110" i="1" s="1"/>
  <c r="CJ110" i="1"/>
  <c r="BP110" i="1"/>
  <c r="BE110" i="1"/>
  <c r="BH79" i="1" s="1"/>
  <c r="BJ79" i="1" s="1"/>
  <c r="BL79" i="1" s="1"/>
  <c r="V110" i="1"/>
  <c r="X110" i="1" s="1"/>
  <c r="G110" i="1"/>
  <c r="B110" i="1"/>
  <c r="CL109" i="1"/>
  <c r="CN109" i="1" s="1"/>
  <c r="CO109" i="1" s="1"/>
  <c r="CQ109" i="1" s="1"/>
  <c r="CJ109" i="1"/>
  <c r="BP109" i="1"/>
  <c r="BE109" i="1"/>
  <c r="BH109" i="1" s="1"/>
  <c r="V109" i="1"/>
  <c r="X109" i="1" s="1"/>
  <c r="G109" i="1"/>
  <c r="B109" i="1"/>
  <c r="CL108" i="1"/>
  <c r="CN108" i="1" s="1"/>
  <c r="CO108" i="1" s="1"/>
  <c r="CQ108" i="1" s="1"/>
  <c r="CJ108" i="1"/>
  <c r="BP108" i="1"/>
  <c r="BE108" i="1"/>
  <c r="BH108" i="1" s="1"/>
  <c r="U108" i="1"/>
  <c r="V108" i="1" s="1"/>
  <c r="X108" i="1" s="1"/>
  <c r="G108" i="1"/>
  <c r="B108" i="1"/>
  <c r="CL107" i="1"/>
  <c r="CN107" i="1" s="1"/>
  <c r="CO107" i="1" s="1"/>
  <c r="CQ107" i="1" s="1"/>
  <c r="BP107" i="1"/>
  <c r="BE107" i="1"/>
  <c r="BH78" i="1" s="1"/>
  <c r="U107" i="1"/>
  <c r="CJ107" i="1" s="1"/>
  <c r="G107" i="1"/>
  <c r="B107" i="1"/>
  <c r="CL106" i="1"/>
  <c r="CN106" i="1" s="1"/>
  <c r="CO106" i="1" s="1"/>
  <c r="CQ106" i="1" s="1"/>
  <c r="CJ106" i="1"/>
  <c r="BP106" i="1"/>
  <c r="BE106" i="1"/>
  <c r="BH106" i="1" s="1"/>
  <c r="BJ106" i="1" s="1"/>
  <c r="BL106" i="1" s="1"/>
  <c r="V106" i="1"/>
  <c r="X106" i="1" s="1"/>
  <c r="B106" i="1"/>
  <c r="CL105" i="1"/>
  <c r="CN105" i="1" s="1"/>
  <c r="CO105" i="1" s="1"/>
  <c r="CQ105" i="1" s="1"/>
  <c r="BP105" i="1"/>
  <c r="BE105" i="1"/>
  <c r="BH105" i="1" s="1"/>
  <c r="AB105" i="1"/>
  <c r="U105" i="1"/>
  <c r="CJ105" i="1" s="1"/>
  <c r="T105" i="1"/>
  <c r="V105" i="1" s="1"/>
  <c r="X105" i="1" s="1"/>
  <c r="G105" i="1"/>
  <c r="B105" i="1"/>
  <c r="CL104" i="1"/>
  <c r="CN104" i="1" s="1"/>
  <c r="CO104" i="1" s="1"/>
  <c r="CQ104" i="1" s="1"/>
  <c r="CJ104" i="1"/>
  <c r="BP104" i="1"/>
  <c r="BE104" i="1"/>
  <c r="BH104" i="1" s="1"/>
  <c r="V104" i="1"/>
  <c r="X104" i="1" s="1"/>
  <c r="G104" i="1"/>
  <c r="B104" i="1"/>
  <c r="CR103" i="1"/>
  <c r="CL103" i="1"/>
  <c r="CN103" i="1" s="1"/>
  <c r="CO103" i="1" s="1"/>
  <c r="CQ103" i="1" s="1"/>
  <c r="CJ103" i="1"/>
  <c r="BQ103" i="1"/>
  <c r="BP103" i="1"/>
  <c r="BE103" i="1"/>
  <c r="BH103" i="1" s="1"/>
  <c r="BJ103" i="1" s="1"/>
  <c r="BL103" i="1" s="1"/>
  <c r="BB103" i="1"/>
  <c r="V103" i="1"/>
  <c r="X103" i="1" s="1"/>
  <c r="G103" i="1"/>
  <c r="B103" i="1"/>
  <c r="CL102" i="1"/>
  <c r="CN102" i="1" s="1"/>
  <c r="CO102" i="1" s="1"/>
  <c r="CQ102" i="1" s="1"/>
  <c r="BP102" i="1"/>
  <c r="U102" i="1"/>
  <c r="CJ102" i="1" s="1"/>
  <c r="G102" i="1"/>
  <c r="B102" i="1"/>
  <c r="CL101" i="1"/>
  <c r="CN101" i="1" s="1"/>
  <c r="CO101" i="1" s="1"/>
  <c r="CQ101" i="1" s="1"/>
  <c r="BP101" i="1"/>
  <c r="BE101" i="1"/>
  <c r="BH101" i="1" s="1"/>
  <c r="BB101" i="1"/>
  <c r="U101" i="1"/>
  <c r="CJ101" i="1" s="1"/>
  <c r="G101" i="1"/>
  <c r="B101" i="1"/>
  <c r="CR100" i="1"/>
  <c r="CL100" i="1"/>
  <c r="CN100" i="1" s="1"/>
  <c r="CO100" i="1" s="1"/>
  <c r="CQ100" i="1" s="1"/>
  <c r="CJ100" i="1"/>
  <c r="BP100" i="1"/>
  <c r="BE100" i="1"/>
  <c r="BH100" i="1" s="1"/>
  <c r="BI100" i="1" s="1"/>
  <c r="V100" i="1"/>
  <c r="X100" i="1" s="1"/>
  <c r="G100" i="1"/>
  <c r="B100" i="1"/>
  <c r="CR99" i="1"/>
  <c r="CL99" i="1"/>
  <c r="CN99" i="1" s="1"/>
  <c r="CO99" i="1" s="1"/>
  <c r="CQ99" i="1" s="1"/>
  <c r="CJ99" i="1"/>
  <c r="BZ99" i="1"/>
  <c r="BQ99" i="1"/>
  <c r="BP99" i="1"/>
  <c r="BB99" i="1"/>
  <c r="BA99" i="1"/>
  <c r="BE99" i="1" s="1"/>
  <c r="BH99" i="1" s="1"/>
  <c r="AB99" i="1"/>
  <c r="V99" i="1"/>
  <c r="X99" i="1" s="1"/>
  <c r="G99" i="1"/>
  <c r="B99" i="1"/>
  <c r="CR98" i="1"/>
  <c r="CL98" i="1"/>
  <c r="CN98" i="1" s="1"/>
  <c r="CO98" i="1" s="1"/>
  <c r="CQ98" i="1" s="1"/>
  <c r="BP98" i="1"/>
  <c r="BB98" i="1"/>
  <c r="BA98" i="1"/>
  <c r="BE98" i="1" s="1"/>
  <c r="BH98" i="1" s="1"/>
  <c r="AB98" i="1"/>
  <c r="U98" i="1"/>
  <c r="V98" i="1" s="1"/>
  <c r="X98" i="1" s="1"/>
  <c r="T98" i="1"/>
  <c r="G98" i="1"/>
  <c r="B98" i="1"/>
  <c r="CL97" i="1"/>
  <c r="CN97" i="1" s="1"/>
  <c r="CO97" i="1" s="1"/>
  <c r="CQ97" i="1" s="1"/>
  <c r="CJ97" i="1"/>
  <c r="BP97" i="1"/>
  <c r="BE97" i="1"/>
  <c r="BH97" i="1" s="1"/>
  <c r="V97" i="1"/>
  <c r="X97" i="1" s="1"/>
  <c r="G97" i="1"/>
  <c r="B97" i="1"/>
  <c r="CR96" i="1"/>
  <c r="CL96" i="1"/>
  <c r="CN96" i="1" s="1"/>
  <c r="CO96" i="1" s="1"/>
  <c r="CQ96" i="1" s="1"/>
  <c r="CJ96" i="1"/>
  <c r="BZ96" i="1"/>
  <c r="BQ96" i="1"/>
  <c r="BP96" i="1"/>
  <c r="BL96" i="1"/>
  <c r="BE96" i="1"/>
  <c r="BH96" i="1" s="1"/>
  <c r="AW96" i="1"/>
  <c r="V96" i="1"/>
  <c r="X96" i="1" s="1"/>
  <c r="G96" i="1"/>
  <c r="B96" i="1"/>
  <c r="CR95" i="1"/>
  <c r="CL95" i="1"/>
  <c r="CN95" i="1" s="1"/>
  <c r="CO95" i="1" s="1"/>
  <c r="CQ95" i="1" s="1"/>
  <c r="CJ95" i="1"/>
  <c r="BZ95" i="1"/>
  <c r="BP95" i="1"/>
  <c r="BA95" i="1"/>
  <c r="BE95" i="1" s="1"/>
  <c r="BH95" i="1" s="1"/>
  <c r="BJ95" i="1" s="1"/>
  <c r="BL95" i="1" s="1"/>
  <c r="V95" i="1"/>
  <c r="X95" i="1" s="1"/>
  <c r="G95" i="1"/>
  <c r="B95" i="1"/>
  <c r="CR94" i="1"/>
  <c r="CL94" i="1"/>
  <c r="CN94" i="1" s="1"/>
  <c r="CO94" i="1" s="1"/>
  <c r="CQ94" i="1" s="1"/>
  <c r="CJ94" i="1"/>
  <c r="BZ94" i="1"/>
  <c r="BP94" i="1"/>
  <c r="BE94" i="1"/>
  <c r="BH94" i="1" s="1"/>
  <c r="V94" i="1"/>
  <c r="X94" i="1" s="1"/>
  <c r="G94" i="1"/>
  <c r="B94" i="1"/>
  <c r="CL93" i="1"/>
  <c r="CN93" i="1" s="1"/>
  <c r="CO93" i="1" s="1"/>
  <c r="CQ93" i="1" s="1"/>
  <c r="CJ93" i="1"/>
  <c r="BP93" i="1"/>
  <c r="BE93" i="1"/>
  <c r="BH93" i="1" s="1"/>
  <c r="V93" i="1"/>
  <c r="X93" i="1" s="1"/>
  <c r="G93" i="1"/>
  <c r="B93" i="1"/>
  <c r="CL92" i="1"/>
  <c r="CN92" i="1" s="1"/>
  <c r="CO92" i="1" s="1"/>
  <c r="CQ92" i="1" s="1"/>
  <c r="CJ92" i="1"/>
  <c r="BP92" i="1"/>
  <c r="BE92" i="1"/>
  <c r="BH92" i="1" s="1"/>
  <c r="V92" i="1"/>
  <c r="X92" i="1" s="1"/>
  <c r="G92" i="1"/>
  <c r="B92" i="1"/>
  <c r="CL91" i="1"/>
  <c r="CN91" i="1" s="1"/>
  <c r="CO91" i="1" s="1"/>
  <c r="CQ91" i="1" s="1"/>
  <c r="CJ91" i="1"/>
  <c r="BP91" i="1"/>
  <c r="BE91" i="1"/>
  <c r="BH91" i="1" s="1"/>
  <c r="V91" i="1"/>
  <c r="X91" i="1" s="1"/>
  <c r="G91" i="1"/>
  <c r="B91" i="1"/>
  <c r="CL90" i="1"/>
  <c r="CN90" i="1" s="1"/>
  <c r="CO90" i="1" s="1"/>
  <c r="CQ90" i="1" s="1"/>
  <c r="CJ90" i="1"/>
  <c r="BP90" i="1"/>
  <c r="BE90" i="1"/>
  <c r="BH90" i="1" s="1"/>
  <c r="V90" i="1"/>
  <c r="X90" i="1" s="1"/>
  <c r="G90" i="1"/>
  <c r="B90" i="1"/>
  <c r="CR89" i="1"/>
  <c r="CL89" i="1"/>
  <c r="CN89" i="1" s="1"/>
  <c r="CO89" i="1" s="1"/>
  <c r="CQ89" i="1" s="1"/>
  <c r="CJ89" i="1"/>
  <c r="BP89" i="1"/>
  <c r="BE89" i="1"/>
  <c r="BH89" i="1" s="1"/>
  <c r="V89" i="1"/>
  <c r="X89" i="1" s="1"/>
  <c r="G89" i="1"/>
  <c r="B89" i="1"/>
  <c r="CR88" i="1"/>
  <c r="CL88" i="1"/>
  <c r="CN88" i="1" s="1"/>
  <c r="CO88" i="1" s="1"/>
  <c r="CQ88" i="1" s="1"/>
  <c r="CJ88" i="1"/>
  <c r="BZ88" i="1"/>
  <c r="BP88" i="1"/>
  <c r="BL88" i="1"/>
  <c r="BE88" i="1"/>
  <c r="BH88" i="1" s="1"/>
  <c r="V88" i="1"/>
  <c r="X88" i="1" s="1"/>
  <c r="G88" i="1"/>
  <c r="B88" i="1"/>
  <c r="CL87" i="1"/>
  <c r="CN87" i="1" s="1"/>
  <c r="CO87" i="1" s="1"/>
  <c r="CQ87" i="1" s="1"/>
  <c r="CJ87" i="1"/>
  <c r="BP87" i="1"/>
  <c r="BE87" i="1"/>
  <c r="BH87" i="1" s="1"/>
  <c r="V87" i="1"/>
  <c r="X87" i="1" s="1"/>
  <c r="G87" i="1"/>
  <c r="B87" i="1"/>
  <c r="CL86" i="1"/>
  <c r="CN86" i="1" s="1"/>
  <c r="CO86" i="1" s="1"/>
  <c r="CQ86" i="1" s="1"/>
  <c r="CJ86" i="1"/>
  <c r="BP86" i="1"/>
  <c r="BE86" i="1"/>
  <c r="BH86" i="1" s="1"/>
  <c r="V86" i="1"/>
  <c r="X86" i="1" s="1"/>
  <c r="G86" i="1"/>
  <c r="B86" i="1"/>
  <c r="CR85" i="1"/>
  <c r="CL85" i="1"/>
  <c r="CN85" i="1" s="1"/>
  <c r="CO85" i="1" s="1"/>
  <c r="CQ85" i="1" s="1"/>
  <c r="CJ85" i="1"/>
  <c r="BP85" i="1"/>
  <c r="BE85" i="1"/>
  <c r="BH85" i="1" s="1"/>
  <c r="V85" i="1"/>
  <c r="X85" i="1" s="1"/>
  <c r="G85" i="1"/>
  <c r="B85" i="1"/>
  <c r="CP84" i="1"/>
  <c r="CL84" i="1"/>
  <c r="CN84" i="1" s="1"/>
  <c r="CO84" i="1" s="1"/>
  <c r="CQ84" i="1" s="1"/>
  <c r="CJ84" i="1"/>
  <c r="BZ84" i="1"/>
  <c r="BQ84" i="1"/>
  <c r="BP84" i="1"/>
  <c r="BE84" i="1"/>
  <c r="BH84" i="1" s="1"/>
  <c r="BJ84" i="1" s="1"/>
  <c r="BL84" i="1" s="1"/>
  <c r="V84" i="1"/>
  <c r="X84" i="1" s="1"/>
  <c r="G84" i="1"/>
  <c r="B84" i="1"/>
  <c r="CR83" i="1"/>
  <c r="CL83" i="1"/>
  <c r="CN83" i="1" s="1"/>
  <c r="CO83" i="1" s="1"/>
  <c r="CQ83" i="1" s="1"/>
  <c r="CJ83" i="1"/>
  <c r="BZ83" i="1"/>
  <c r="BQ83" i="1"/>
  <c r="BP83" i="1"/>
  <c r="BE83" i="1"/>
  <c r="BH83" i="1" s="1"/>
  <c r="V83" i="1"/>
  <c r="X83" i="1" s="1"/>
  <c r="G83" i="1"/>
  <c r="B83" i="1"/>
  <c r="CR82" i="1"/>
  <c r="CL82" i="1"/>
  <c r="CN82" i="1" s="1"/>
  <c r="CO82" i="1" s="1"/>
  <c r="CQ82" i="1" s="1"/>
  <c r="CJ82" i="1"/>
  <c r="BZ82" i="1"/>
  <c r="BQ82" i="1"/>
  <c r="BP82" i="1"/>
  <c r="BB82" i="1"/>
  <c r="BE82" i="1" s="1"/>
  <c r="BH82" i="1" s="1"/>
  <c r="V82" i="1"/>
  <c r="X82" i="1" s="1"/>
  <c r="U82" i="1"/>
  <c r="G82" i="1"/>
  <c r="B82" i="1"/>
  <c r="CN81" i="1"/>
  <c r="CO81" i="1" s="1"/>
  <c r="CQ81" i="1" s="1"/>
  <c r="CJ81" i="1"/>
  <c r="BP81" i="1"/>
  <c r="BE81" i="1"/>
  <c r="V81" i="1"/>
  <c r="X81" i="1" s="1"/>
  <c r="B81" i="1"/>
  <c r="CN80" i="1"/>
  <c r="CO80" i="1" s="1"/>
  <c r="CQ80" i="1" s="1"/>
  <c r="CJ80" i="1"/>
  <c r="BP80" i="1"/>
  <c r="BE80" i="1"/>
  <c r="BH80" i="1" s="1"/>
  <c r="V80" i="1"/>
  <c r="X80" i="1" s="1"/>
  <c r="B80" i="1"/>
  <c r="CN79" i="1"/>
  <c r="CO79" i="1" s="1"/>
  <c r="CQ79" i="1" s="1"/>
  <c r="CJ79" i="1"/>
  <c r="BP79" i="1"/>
  <c r="BE79" i="1"/>
  <c r="V79" i="1"/>
  <c r="X79" i="1" s="1"/>
  <c r="G79" i="1"/>
  <c r="B79" i="1"/>
  <c r="CN78" i="1"/>
  <c r="CO78" i="1" s="1"/>
  <c r="CQ78" i="1" s="1"/>
  <c r="CJ78" i="1"/>
  <c r="BP78" i="1"/>
  <c r="BE78" i="1"/>
  <c r="V78" i="1"/>
  <c r="X78" i="1" s="1"/>
  <c r="B78" i="1"/>
  <c r="CN77" i="1"/>
  <c r="CO77" i="1" s="1"/>
  <c r="CQ77" i="1" s="1"/>
  <c r="CJ77" i="1"/>
  <c r="BP77" i="1"/>
  <c r="BE77" i="1"/>
  <c r="BH77" i="1" s="1"/>
  <c r="V77" i="1"/>
  <c r="X77" i="1" s="1"/>
  <c r="G77" i="1"/>
  <c r="B77" i="1"/>
  <c r="CR76" i="1"/>
  <c r="CL76" i="1"/>
  <c r="CN76" i="1" s="1"/>
  <c r="CO76" i="1" s="1"/>
  <c r="CQ76" i="1" s="1"/>
  <c r="CJ76" i="1"/>
  <c r="BQ76" i="1"/>
  <c r="BP76" i="1"/>
  <c r="BE76" i="1"/>
  <c r="BH76" i="1" s="1"/>
  <c r="V76" i="1"/>
  <c r="X76" i="1" s="1"/>
  <c r="B76" i="1"/>
  <c r="CL75" i="1"/>
  <c r="CN75" i="1" s="1"/>
  <c r="CO75" i="1" s="1"/>
  <c r="CQ75" i="1" s="1"/>
  <c r="CJ75" i="1"/>
  <c r="BP75" i="1"/>
  <c r="BE75" i="1"/>
  <c r="BH75" i="1" s="1"/>
  <c r="BI75" i="1" s="1"/>
  <c r="V75" i="1"/>
  <c r="X75" i="1" s="1"/>
  <c r="G75" i="1"/>
  <c r="B75" i="1"/>
  <c r="CN74" i="1"/>
  <c r="CO74" i="1" s="1"/>
  <c r="CQ74" i="1" s="1"/>
  <c r="CJ74" i="1"/>
  <c r="BP74" i="1"/>
  <c r="BE74" i="1"/>
  <c r="BH74" i="1" s="1"/>
  <c r="V74" i="1"/>
  <c r="X74" i="1" s="1"/>
  <c r="G74" i="1"/>
  <c r="B74" i="1"/>
  <c r="CN73" i="1"/>
  <c r="CO73" i="1" s="1"/>
  <c r="CQ73" i="1" s="1"/>
  <c r="CJ73" i="1"/>
  <c r="BP73" i="1"/>
  <c r="BE73" i="1"/>
  <c r="BH73" i="1" s="1"/>
  <c r="V73" i="1"/>
  <c r="X73" i="1" s="1"/>
  <c r="G73" i="1"/>
  <c r="B73" i="1"/>
  <c r="CL72" i="1"/>
  <c r="CN72" i="1" s="1"/>
  <c r="CO72" i="1" s="1"/>
  <c r="CQ72" i="1" s="1"/>
  <c r="CJ72" i="1"/>
  <c r="BQ72" i="1"/>
  <c r="BP72" i="1"/>
  <c r="BE72" i="1"/>
  <c r="BH72" i="1" s="1"/>
  <c r="V72" i="1"/>
  <c r="X72" i="1" s="1"/>
  <c r="G72" i="1"/>
  <c r="B72" i="1"/>
  <c r="CN71" i="1"/>
  <c r="CO71" i="1" s="1"/>
  <c r="CQ71" i="1" s="1"/>
  <c r="CJ71" i="1"/>
  <c r="BP71" i="1"/>
  <c r="BE71" i="1"/>
  <c r="BH71" i="1" s="1"/>
  <c r="V71" i="1"/>
  <c r="X71" i="1" s="1"/>
  <c r="G71" i="1"/>
  <c r="B71" i="1"/>
  <c r="CR70" i="1"/>
  <c r="CL70" i="1"/>
  <c r="CN70" i="1" s="1"/>
  <c r="CO70" i="1" s="1"/>
  <c r="CQ70" i="1" s="1"/>
  <c r="CJ70" i="1"/>
  <c r="CD70" i="1"/>
  <c r="BQ70" i="1"/>
  <c r="BP70" i="1"/>
  <c r="BE70" i="1"/>
  <c r="BH70" i="1" s="1"/>
  <c r="BJ70" i="1" s="1"/>
  <c r="BL70" i="1" s="1"/>
  <c r="V70" i="1"/>
  <c r="X70" i="1" s="1"/>
  <c r="G70" i="1"/>
  <c r="B70" i="1"/>
  <c r="CL69" i="1"/>
  <c r="CN69" i="1" s="1"/>
  <c r="CO69" i="1" s="1"/>
  <c r="CQ69" i="1" s="1"/>
  <c r="CJ69" i="1"/>
  <c r="BQ69" i="1"/>
  <c r="BP69" i="1"/>
  <c r="BE69" i="1"/>
  <c r="BH69" i="1" s="1"/>
  <c r="V69" i="1"/>
  <c r="X69" i="1" s="1"/>
  <c r="G69" i="1"/>
  <c r="B69" i="1"/>
  <c r="CL68" i="1"/>
  <c r="CN68" i="1" s="1"/>
  <c r="CO68" i="1" s="1"/>
  <c r="CQ68" i="1" s="1"/>
  <c r="CJ68" i="1"/>
  <c r="BZ68" i="1"/>
  <c r="BQ68" i="1"/>
  <c r="BP68" i="1"/>
  <c r="BE68" i="1"/>
  <c r="BH68" i="1" s="1"/>
  <c r="BJ68" i="1" s="1"/>
  <c r="BL68" i="1" s="1"/>
  <c r="V68" i="1"/>
  <c r="X68" i="1" s="1"/>
  <c r="G68" i="1"/>
  <c r="B68" i="1"/>
  <c r="CN67" i="1"/>
  <c r="CO67" i="1" s="1"/>
  <c r="CQ67" i="1" s="1"/>
  <c r="CJ67" i="1"/>
  <c r="BP67" i="1"/>
  <c r="BE67" i="1"/>
  <c r="BH67" i="1" s="1"/>
  <c r="V67" i="1"/>
  <c r="X67" i="1" s="1"/>
  <c r="G67" i="1"/>
  <c r="B67" i="1"/>
  <c r="CR66" i="1"/>
  <c r="CL66" i="1"/>
  <c r="CN66" i="1" s="1"/>
  <c r="CO66" i="1" s="1"/>
  <c r="CQ66" i="1" s="1"/>
  <c r="CJ66" i="1"/>
  <c r="BZ66" i="1"/>
  <c r="BQ66" i="1"/>
  <c r="BP66" i="1"/>
  <c r="BE66" i="1"/>
  <c r="BH66" i="1" s="1"/>
  <c r="BJ66" i="1" s="1"/>
  <c r="BL66" i="1" s="1"/>
  <c r="V66" i="1"/>
  <c r="X66" i="1" s="1"/>
  <c r="G66" i="1"/>
  <c r="B66" i="1"/>
  <c r="CJ65" i="1"/>
  <c r="BE65" i="1"/>
  <c r="BH65" i="1" s="1"/>
  <c r="V65" i="1"/>
  <c r="X65" i="1" s="1"/>
  <c r="G65" i="1"/>
  <c r="CL64" i="1"/>
  <c r="CN64" i="1" s="1"/>
  <c r="CO64" i="1" s="1"/>
  <c r="CQ64" i="1" s="1"/>
  <c r="CJ64" i="1"/>
  <c r="BP64" i="1"/>
  <c r="BE64" i="1"/>
  <c r="BH64" i="1" s="1"/>
  <c r="BJ64" i="1" s="1"/>
  <c r="BL64" i="1" s="1"/>
  <c r="V64" i="1"/>
  <c r="X64" i="1" s="1"/>
  <c r="G64" i="1"/>
  <c r="B64" i="1"/>
  <c r="CR63" i="1"/>
  <c r="CL63" i="1"/>
  <c r="CN63" i="1" s="1"/>
  <c r="CO63" i="1" s="1"/>
  <c r="CQ63" i="1" s="1"/>
  <c r="CJ63" i="1"/>
  <c r="BQ63" i="1"/>
  <c r="BP63" i="1"/>
  <c r="BE63" i="1"/>
  <c r="BH63" i="1" s="1"/>
  <c r="BI63" i="1" s="1"/>
  <c r="V63" i="1"/>
  <c r="X63" i="1" s="1"/>
  <c r="G63" i="1"/>
  <c r="B63" i="1"/>
  <c r="CR62" i="1"/>
  <c r="CL62" i="1"/>
  <c r="CN62" i="1" s="1"/>
  <c r="CO62" i="1" s="1"/>
  <c r="CQ62" i="1" s="1"/>
  <c r="CJ62" i="1"/>
  <c r="BZ62" i="1"/>
  <c r="BQ62" i="1"/>
  <c r="BP62" i="1"/>
  <c r="BE62" i="1"/>
  <c r="BH62" i="1" s="1"/>
  <c r="BI62" i="1" s="1"/>
  <c r="BD62" i="1"/>
  <c r="BA62" i="1"/>
  <c r="V62" i="1"/>
  <c r="X62" i="1" s="1"/>
  <c r="G62" i="1"/>
  <c r="B62" i="1"/>
  <c r="CL61" i="1"/>
  <c r="CN61" i="1" s="1"/>
  <c r="CO61" i="1" s="1"/>
  <c r="CQ61" i="1" s="1"/>
  <c r="CJ61" i="1"/>
  <c r="BQ61" i="1"/>
  <c r="BP61" i="1"/>
  <c r="BE61" i="1"/>
  <c r="BH61" i="1" s="1"/>
  <c r="BI61" i="1" s="1"/>
  <c r="V61" i="1"/>
  <c r="X61" i="1" s="1"/>
  <c r="G61" i="1"/>
  <c r="B61" i="1"/>
  <c r="CL60" i="1"/>
  <c r="CN60" i="1" s="1"/>
  <c r="CO60" i="1" s="1"/>
  <c r="CQ60" i="1" s="1"/>
  <c r="CJ60" i="1"/>
  <c r="BQ60" i="1"/>
  <c r="BP60" i="1"/>
  <c r="BE60" i="1"/>
  <c r="BH60" i="1" s="1"/>
  <c r="BJ60" i="1" s="1"/>
  <c r="BL60" i="1" s="1"/>
  <c r="V60" i="1"/>
  <c r="X60" i="1" s="1"/>
  <c r="B60" i="1"/>
  <c r="CL59" i="1"/>
  <c r="CN59" i="1" s="1"/>
  <c r="CO59" i="1" s="1"/>
  <c r="CQ59" i="1" s="1"/>
  <c r="CJ59" i="1"/>
  <c r="BZ59" i="1"/>
  <c r="BQ59" i="1"/>
  <c r="BP59" i="1"/>
  <c r="BE59" i="1"/>
  <c r="BH59" i="1" s="1"/>
  <c r="BI59" i="1" s="1"/>
  <c r="V59" i="1"/>
  <c r="X59" i="1" s="1"/>
  <c r="G59" i="1"/>
  <c r="B59" i="1"/>
  <c r="CR58" i="1"/>
  <c r="CL58" i="1"/>
  <c r="CN58" i="1" s="1"/>
  <c r="CO58" i="1" s="1"/>
  <c r="CQ58" i="1" s="1"/>
  <c r="CJ58" i="1"/>
  <c r="BQ58" i="1"/>
  <c r="BP58" i="1"/>
  <c r="BE58" i="1"/>
  <c r="BH58" i="1" s="1"/>
  <c r="V58" i="1"/>
  <c r="X58" i="1" s="1"/>
  <c r="G58" i="1"/>
  <c r="B58" i="1"/>
  <c r="CR57" i="1"/>
  <c r="CL57" i="1"/>
  <c r="CN57" i="1" s="1"/>
  <c r="CO57" i="1" s="1"/>
  <c r="CQ57" i="1" s="1"/>
  <c r="CJ57" i="1"/>
  <c r="BQ57" i="1"/>
  <c r="BP57" i="1"/>
  <c r="BE57" i="1"/>
  <c r="BH57" i="1" s="1"/>
  <c r="V57" i="1"/>
  <c r="X57" i="1" s="1"/>
  <c r="G57" i="1"/>
  <c r="B57" i="1"/>
  <c r="CL56" i="1"/>
  <c r="CN56" i="1" s="1"/>
  <c r="CO56" i="1" s="1"/>
  <c r="CQ56" i="1" s="1"/>
  <c r="CJ56" i="1"/>
  <c r="BQ56" i="1"/>
  <c r="BP56" i="1"/>
  <c r="BE56" i="1"/>
  <c r="BH56" i="1" s="1"/>
  <c r="BJ56" i="1" s="1"/>
  <c r="BL56" i="1" s="1"/>
  <c r="V56" i="1"/>
  <c r="X56" i="1" s="1"/>
  <c r="G56" i="1"/>
  <c r="B56" i="1"/>
  <c r="CL55" i="1"/>
  <c r="CN55" i="1" s="1"/>
  <c r="CO55" i="1" s="1"/>
  <c r="CQ55" i="1" s="1"/>
  <c r="CJ55" i="1"/>
  <c r="BP55" i="1"/>
  <c r="BE55" i="1"/>
  <c r="BH55" i="1" s="1"/>
  <c r="V55" i="1"/>
  <c r="X55" i="1" s="1"/>
  <c r="G55" i="1"/>
  <c r="B55" i="1"/>
  <c r="CL54" i="1"/>
  <c r="CN54" i="1" s="1"/>
  <c r="CO54" i="1" s="1"/>
  <c r="CQ54" i="1" s="1"/>
  <c r="CJ54" i="1"/>
  <c r="BQ54" i="1"/>
  <c r="BP54" i="1"/>
  <c r="BE54" i="1"/>
  <c r="BH54" i="1" s="1"/>
  <c r="BI54" i="1" s="1"/>
  <c r="V54" i="1"/>
  <c r="X54" i="1" s="1"/>
  <c r="G54" i="1"/>
  <c r="B54" i="1"/>
  <c r="CL53" i="1"/>
  <c r="CN53" i="1" s="1"/>
  <c r="CO53" i="1" s="1"/>
  <c r="CQ53" i="1" s="1"/>
  <c r="CJ53" i="1"/>
  <c r="BQ53" i="1"/>
  <c r="BP53" i="1"/>
  <c r="BE53" i="1"/>
  <c r="BH53" i="1" s="1"/>
  <c r="V53" i="1"/>
  <c r="X53" i="1" s="1"/>
  <c r="G53" i="1"/>
  <c r="B53" i="1"/>
  <c r="CL52" i="1"/>
  <c r="CN52" i="1" s="1"/>
  <c r="CO52" i="1" s="1"/>
  <c r="CQ52" i="1" s="1"/>
  <c r="CJ52" i="1"/>
  <c r="BQ52" i="1"/>
  <c r="BP52" i="1"/>
  <c r="BE52" i="1"/>
  <c r="BH52" i="1" s="1"/>
  <c r="BI52" i="1" s="1"/>
  <c r="V52" i="1"/>
  <c r="X52" i="1" s="1"/>
  <c r="G52" i="1"/>
  <c r="B52" i="1"/>
  <c r="CR51" i="1"/>
  <c r="CL51" i="1"/>
  <c r="CN51" i="1" s="1"/>
  <c r="CO51" i="1" s="1"/>
  <c r="CQ51" i="1" s="1"/>
  <c r="CJ51" i="1"/>
  <c r="BQ51" i="1"/>
  <c r="BP51" i="1"/>
  <c r="BE51" i="1"/>
  <c r="BH51" i="1" s="1"/>
  <c r="V51" i="1"/>
  <c r="X51" i="1" s="1"/>
  <c r="G51" i="1"/>
  <c r="B51" i="1"/>
  <c r="CR50" i="1"/>
  <c r="CL50" i="1"/>
  <c r="CN50" i="1" s="1"/>
  <c r="CO50" i="1" s="1"/>
  <c r="CQ50" i="1" s="1"/>
  <c r="CJ50" i="1"/>
  <c r="BQ50" i="1"/>
  <c r="BP50" i="1"/>
  <c r="BE50" i="1"/>
  <c r="BH50" i="1" s="1"/>
  <c r="V50" i="1"/>
  <c r="X50" i="1" s="1"/>
  <c r="G50" i="1"/>
  <c r="B50" i="1"/>
  <c r="CL49" i="1"/>
  <c r="CN49" i="1" s="1"/>
  <c r="CO49" i="1" s="1"/>
  <c r="CQ49" i="1" s="1"/>
  <c r="CJ49" i="1"/>
  <c r="BQ49" i="1"/>
  <c r="BP49" i="1"/>
  <c r="BE49" i="1"/>
  <c r="BH49" i="1" s="1"/>
  <c r="BJ49" i="1" s="1"/>
  <c r="BL49" i="1" s="1"/>
  <c r="V49" i="1"/>
  <c r="X49" i="1" s="1"/>
  <c r="G49" i="1"/>
  <c r="B49" i="1"/>
  <c r="CR48" i="1"/>
  <c r="CL48" i="1"/>
  <c r="CN48" i="1" s="1"/>
  <c r="CO48" i="1" s="1"/>
  <c r="CQ48" i="1" s="1"/>
  <c r="CJ48" i="1"/>
  <c r="BZ48" i="1"/>
  <c r="BQ48" i="1"/>
  <c r="BP48" i="1"/>
  <c r="BE48" i="1"/>
  <c r="BH48" i="1" s="1"/>
  <c r="BI48" i="1" s="1"/>
  <c r="V48" i="1"/>
  <c r="X48" i="1" s="1"/>
  <c r="G48" i="1"/>
  <c r="B48" i="1"/>
  <c r="CL47" i="1"/>
  <c r="CN47" i="1" s="1"/>
  <c r="CO47" i="1" s="1"/>
  <c r="CQ47" i="1" s="1"/>
  <c r="CJ47" i="1"/>
  <c r="BQ47" i="1"/>
  <c r="BP47" i="1"/>
  <c r="BE47" i="1"/>
  <c r="BH47" i="1" s="1"/>
  <c r="BJ47" i="1" s="1"/>
  <c r="BL47" i="1" s="1"/>
  <c r="V47" i="1"/>
  <c r="X47" i="1" s="1"/>
  <c r="G47" i="1"/>
  <c r="B47" i="1"/>
  <c r="CL46" i="1"/>
  <c r="CN46" i="1" s="1"/>
  <c r="CO46" i="1" s="1"/>
  <c r="CQ46" i="1" s="1"/>
  <c r="CJ46" i="1"/>
  <c r="BP46" i="1"/>
  <c r="BE46" i="1"/>
  <c r="BH46" i="1" s="1"/>
  <c r="BJ46" i="1" s="1"/>
  <c r="BL46" i="1" s="1"/>
  <c r="V46" i="1"/>
  <c r="X46" i="1" s="1"/>
  <c r="G46" i="1"/>
  <c r="B46" i="1"/>
  <c r="CR45" i="1"/>
  <c r="CL45" i="1"/>
  <c r="CN45" i="1" s="1"/>
  <c r="CO45" i="1" s="1"/>
  <c r="CQ45" i="1" s="1"/>
  <c r="CJ45" i="1"/>
  <c r="BQ45" i="1"/>
  <c r="BP45" i="1"/>
  <c r="BE45" i="1"/>
  <c r="BH45" i="1" s="1"/>
  <c r="V45" i="1"/>
  <c r="X45" i="1" s="1"/>
  <c r="G45" i="1"/>
  <c r="B45" i="1"/>
  <c r="CR44" i="1"/>
  <c r="CL44" i="1"/>
  <c r="CN44" i="1" s="1"/>
  <c r="CO44" i="1" s="1"/>
  <c r="CQ44" i="1" s="1"/>
  <c r="CJ44" i="1"/>
  <c r="BQ44" i="1"/>
  <c r="BP44" i="1"/>
  <c r="BE44" i="1"/>
  <c r="BH44" i="1" s="1"/>
  <c r="BJ44" i="1" s="1"/>
  <c r="BL44" i="1" s="1"/>
  <c r="V44" i="1"/>
  <c r="X44" i="1" s="1"/>
  <c r="G44" i="1"/>
  <c r="B44" i="1"/>
  <c r="CR43" i="1"/>
  <c r="CL43" i="1"/>
  <c r="CN43" i="1" s="1"/>
  <c r="CO43" i="1" s="1"/>
  <c r="CQ43" i="1" s="1"/>
  <c r="CJ43" i="1"/>
  <c r="BQ43" i="1"/>
  <c r="BP43" i="1"/>
  <c r="BE43" i="1"/>
  <c r="BH43" i="1" s="1"/>
  <c r="BJ43" i="1" s="1"/>
  <c r="BL43" i="1" s="1"/>
  <c r="V43" i="1"/>
  <c r="X43" i="1" s="1"/>
  <c r="G43" i="1"/>
  <c r="B43" i="1"/>
  <c r="CR42" i="1"/>
  <c r="CL42" i="1"/>
  <c r="CN42" i="1" s="1"/>
  <c r="CO42" i="1" s="1"/>
  <c r="CQ42" i="1" s="1"/>
  <c r="CJ42" i="1"/>
  <c r="BQ42" i="1"/>
  <c r="BP42" i="1"/>
  <c r="BE42" i="1"/>
  <c r="BH42" i="1" s="1"/>
  <c r="BJ42" i="1" s="1"/>
  <c r="BL42" i="1" s="1"/>
  <c r="BA42" i="1"/>
  <c r="V42" i="1"/>
  <c r="X42" i="1" s="1"/>
  <c r="G42" i="1"/>
  <c r="B42" i="1"/>
  <c r="CR41" i="1"/>
  <c r="CL41" i="1"/>
  <c r="CN41" i="1" s="1"/>
  <c r="CO41" i="1" s="1"/>
  <c r="CQ41" i="1" s="1"/>
  <c r="CJ41" i="1"/>
  <c r="BQ41" i="1"/>
  <c r="BP41" i="1"/>
  <c r="BA41" i="1"/>
  <c r="BE41" i="1" s="1"/>
  <c r="BH41" i="1" s="1"/>
  <c r="BI41" i="1" s="1"/>
  <c r="V41" i="1"/>
  <c r="X41" i="1" s="1"/>
  <c r="G41" i="1"/>
  <c r="B41" i="1"/>
  <c r="CR40" i="1"/>
  <c r="CL40" i="1"/>
  <c r="CN40" i="1" s="1"/>
  <c r="CO40" i="1" s="1"/>
  <c r="CQ40" i="1" s="1"/>
  <c r="CJ40" i="1"/>
  <c r="BQ40" i="1"/>
  <c r="BP40" i="1"/>
  <c r="BE40" i="1"/>
  <c r="BH40" i="1" s="1"/>
  <c r="BJ40" i="1" s="1"/>
  <c r="BL40" i="1" s="1"/>
  <c r="BA40" i="1"/>
  <c r="V40" i="1"/>
  <c r="X40" i="1" s="1"/>
  <c r="G40" i="1"/>
  <c r="B40" i="1"/>
  <c r="CR39" i="1"/>
  <c r="CL39" i="1"/>
  <c r="CN39" i="1" s="1"/>
  <c r="CO39" i="1" s="1"/>
  <c r="CQ39" i="1" s="1"/>
  <c r="CJ39" i="1"/>
  <c r="BQ39" i="1"/>
  <c r="BP39" i="1"/>
  <c r="BE39" i="1"/>
  <c r="BH39" i="1" s="1"/>
  <c r="V39" i="1"/>
  <c r="X39" i="1" s="1"/>
  <c r="G39" i="1"/>
  <c r="B39" i="1"/>
  <c r="CL38" i="1"/>
  <c r="CN38" i="1" s="1"/>
  <c r="CO38" i="1" s="1"/>
  <c r="CQ38" i="1" s="1"/>
  <c r="CJ38" i="1"/>
  <c r="BZ38" i="1"/>
  <c r="BQ38" i="1"/>
  <c r="BP38" i="1"/>
  <c r="BE38" i="1"/>
  <c r="BH38" i="1" s="1"/>
  <c r="BJ38" i="1" s="1"/>
  <c r="BL38" i="1" s="1"/>
  <c r="V38" i="1"/>
  <c r="X38" i="1" s="1"/>
  <c r="G38" i="1"/>
  <c r="B38" i="1"/>
  <c r="CL37" i="1"/>
  <c r="CN37" i="1" s="1"/>
  <c r="CO37" i="1" s="1"/>
  <c r="CQ37" i="1" s="1"/>
  <c r="CJ37" i="1"/>
  <c r="BZ37" i="1"/>
  <c r="BQ37" i="1"/>
  <c r="BP37" i="1"/>
  <c r="BE37" i="1"/>
  <c r="BH37" i="1" s="1"/>
  <c r="BI37" i="1" s="1"/>
  <c r="V37" i="1"/>
  <c r="X37" i="1" s="1"/>
  <c r="G37" i="1"/>
  <c r="B37" i="1"/>
  <c r="CR36" i="1"/>
  <c r="CL36" i="1"/>
  <c r="CN36" i="1" s="1"/>
  <c r="CO36" i="1" s="1"/>
  <c r="CQ36" i="1" s="1"/>
  <c r="CJ36" i="1"/>
  <c r="CE36" i="1"/>
  <c r="BQ36" i="1"/>
  <c r="BP36" i="1"/>
  <c r="BA36" i="1"/>
  <c r="BE36" i="1" s="1"/>
  <c r="BH36" i="1" s="1"/>
  <c r="V36" i="1"/>
  <c r="X36" i="1" s="1"/>
  <c r="G36" i="1"/>
  <c r="B36" i="1"/>
  <c r="CR35" i="1"/>
  <c r="CL35" i="1"/>
  <c r="CN35" i="1" s="1"/>
  <c r="CO35" i="1" s="1"/>
  <c r="CQ35" i="1" s="1"/>
  <c r="CJ35" i="1"/>
  <c r="BZ35" i="1"/>
  <c r="BQ35" i="1"/>
  <c r="BP35" i="1"/>
  <c r="BE35" i="1"/>
  <c r="BH35" i="1" s="1"/>
  <c r="BJ35" i="1" s="1"/>
  <c r="BL35" i="1" s="1"/>
  <c r="BA35" i="1"/>
  <c r="V35" i="1"/>
  <c r="X35" i="1" s="1"/>
  <c r="G35" i="1"/>
  <c r="B35" i="1"/>
  <c r="CR34" i="1"/>
  <c r="CL34" i="1"/>
  <c r="CN34" i="1" s="1"/>
  <c r="CO34" i="1" s="1"/>
  <c r="CQ34" i="1" s="1"/>
  <c r="CJ34" i="1"/>
  <c r="CE34" i="1"/>
  <c r="BZ34" i="1"/>
  <c r="BQ34" i="1"/>
  <c r="BP34" i="1"/>
  <c r="BE34" i="1"/>
  <c r="BH34" i="1" s="1"/>
  <c r="BI34" i="1" s="1"/>
  <c r="BA34" i="1"/>
  <c r="V34" i="1"/>
  <c r="X34" i="1" s="1"/>
  <c r="G34" i="1"/>
  <c r="B34" i="1"/>
  <c r="CR33" i="1"/>
  <c r="CL33" i="1"/>
  <c r="CN33" i="1" s="1"/>
  <c r="CO33" i="1" s="1"/>
  <c r="CQ33" i="1" s="1"/>
  <c r="CJ33" i="1"/>
  <c r="BZ33" i="1"/>
  <c r="BQ33" i="1"/>
  <c r="BP33" i="1"/>
  <c r="BA33" i="1"/>
  <c r="BE33" i="1" s="1"/>
  <c r="BH33" i="1" s="1"/>
  <c r="V33" i="1"/>
  <c r="X33" i="1" s="1"/>
  <c r="G33" i="1"/>
  <c r="B33" i="1"/>
  <c r="CR32" i="1"/>
  <c r="CK32" i="1"/>
  <c r="CL32" i="1" s="1"/>
  <c r="CN32" i="1" s="1"/>
  <c r="CO32" i="1" s="1"/>
  <c r="CQ32" i="1" s="1"/>
  <c r="BZ32" i="1"/>
  <c r="BQ32" i="1"/>
  <c r="BP32" i="1"/>
  <c r="BE32" i="1"/>
  <c r="BH32" i="1" s="1"/>
  <c r="BB32" i="1"/>
  <c r="U32" i="1"/>
  <c r="V32" i="1" s="1"/>
  <c r="X32" i="1" s="1"/>
  <c r="G32" i="1"/>
  <c r="B32" i="1"/>
  <c r="CR31" i="1"/>
  <c r="CL31" i="1"/>
  <c r="CN31" i="1" s="1"/>
  <c r="CO31" i="1" s="1"/>
  <c r="CQ31" i="1" s="1"/>
  <c r="CJ31" i="1"/>
  <c r="BZ31" i="1"/>
  <c r="BQ31" i="1"/>
  <c r="BP31" i="1"/>
  <c r="BD31" i="1"/>
  <c r="BB31" i="1"/>
  <c r="BE31" i="1" s="1"/>
  <c r="BH31" i="1" s="1"/>
  <c r="U31" i="1"/>
  <c r="V31" i="1" s="1"/>
  <c r="X31" i="1" s="1"/>
  <c r="T31" i="1"/>
  <c r="G31" i="1"/>
  <c r="B31" i="1"/>
  <c r="CR30" i="1"/>
  <c r="CL30" i="1"/>
  <c r="CN30" i="1" s="1"/>
  <c r="CO30" i="1" s="1"/>
  <c r="CQ30" i="1" s="1"/>
  <c r="BZ30" i="1"/>
  <c r="BQ30" i="1"/>
  <c r="BP30" i="1"/>
  <c r="BE30" i="1"/>
  <c r="BH30" i="1" s="1"/>
  <c r="BJ30" i="1" s="1"/>
  <c r="BL30" i="1" s="1"/>
  <c r="BD30" i="1"/>
  <c r="BB30" i="1"/>
  <c r="V30" i="1"/>
  <c r="X30" i="1" s="1"/>
  <c r="U30" i="1"/>
  <c r="CJ30" i="1" s="1"/>
  <c r="T30" i="1"/>
  <c r="G30" i="1"/>
  <c r="B30" i="1"/>
  <c r="CR29" i="1"/>
  <c r="CL29" i="1"/>
  <c r="CN29" i="1" s="1"/>
  <c r="CO29" i="1" s="1"/>
  <c r="CQ29" i="1" s="1"/>
  <c r="CJ29" i="1"/>
  <c r="BZ29" i="1"/>
  <c r="BQ29" i="1"/>
  <c r="BP29" i="1"/>
  <c r="BE29" i="1"/>
  <c r="BH29" i="1" s="1"/>
  <c r="BI29" i="1" s="1"/>
  <c r="V29" i="1"/>
  <c r="X29" i="1" s="1"/>
  <c r="G29" i="1"/>
  <c r="B29" i="1"/>
  <c r="CR28" i="1"/>
  <c r="CL28" i="1"/>
  <c r="CN28" i="1" s="1"/>
  <c r="CO28" i="1" s="1"/>
  <c r="CQ28" i="1" s="1"/>
  <c r="CJ28" i="1"/>
  <c r="BP28" i="1"/>
  <c r="BE28" i="1"/>
  <c r="BH28" i="1" s="1"/>
  <c r="BJ28" i="1" s="1"/>
  <c r="V28" i="1"/>
  <c r="X28" i="1" s="1"/>
  <c r="G28" i="1"/>
  <c r="B28" i="1"/>
  <c r="CR27" i="1"/>
  <c r="CL27" i="1"/>
  <c r="CN27" i="1" s="1"/>
  <c r="CO27" i="1" s="1"/>
  <c r="CQ27" i="1" s="1"/>
  <c r="CJ27" i="1"/>
  <c r="BP27" i="1"/>
  <c r="BE27" i="1"/>
  <c r="BL27" i="1" s="1"/>
  <c r="V27" i="1"/>
  <c r="X27" i="1" s="1"/>
  <c r="G27" i="1"/>
  <c r="B27" i="1"/>
  <c r="CL26" i="1"/>
  <c r="CN26" i="1" s="1"/>
  <c r="CO26" i="1" s="1"/>
  <c r="CQ26" i="1" s="1"/>
  <c r="CJ26" i="1"/>
  <c r="BZ26" i="1"/>
  <c r="BP26" i="1"/>
  <c r="BE26" i="1"/>
  <c r="BH26" i="1" s="1"/>
  <c r="BJ26" i="1" s="1"/>
  <c r="BL26" i="1" s="1"/>
  <c r="V26" i="1"/>
  <c r="X26" i="1" s="1"/>
  <c r="G26" i="1"/>
  <c r="B26" i="1"/>
  <c r="CR25" i="1"/>
  <c r="CL25" i="1"/>
  <c r="CN25" i="1" s="1"/>
  <c r="CO25" i="1" s="1"/>
  <c r="CQ25" i="1" s="1"/>
  <c r="CJ25" i="1"/>
  <c r="BZ25" i="1"/>
  <c r="BQ25" i="1"/>
  <c r="BP25" i="1"/>
  <c r="BA25" i="1"/>
  <c r="BE25" i="1" s="1"/>
  <c r="BH25" i="1" s="1"/>
  <c r="V25" i="1"/>
  <c r="X25" i="1" s="1"/>
  <c r="G25" i="1"/>
  <c r="B25" i="1"/>
  <c r="CR24" i="1"/>
  <c r="CL24" i="1"/>
  <c r="CN24" i="1" s="1"/>
  <c r="CO24" i="1" s="1"/>
  <c r="CQ24" i="1" s="1"/>
  <c r="CJ24" i="1"/>
  <c r="BZ24" i="1"/>
  <c r="BQ24" i="1"/>
  <c r="BP24" i="1"/>
  <c r="BO24" i="1"/>
  <c r="BE24" i="1"/>
  <c r="BH24" i="1" s="1"/>
  <c r="BJ24" i="1" s="1"/>
  <c r="BL24" i="1" s="1"/>
  <c r="V24" i="1"/>
  <c r="X24" i="1" s="1"/>
  <c r="G24" i="1"/>
  <c r="B24" i="1"/>
  <c r="CR23" i="1"/>
  <c r="CL23" i="1"/>
  <c r="CN23" i="1" s="1"/>
  <c r="CO23" i="1" s="1"/>
  <c r="CQ23" i="1" s="1"/>
  <c r="BQ23" i="1"/>
  <c r="BP23" i="1"/>
  <c r="BE23" i="1"/>
  <c r="BH23" i="1" s="1"/>
  <c r="BB23" i="1"/>
  <c r="BA23" i="1"/>
  <c r="AB23" i="1"/>
  <c r="U23" i="1"/>
  <c r="CJ23" i="1" s="1"/>
  <c r="T23" i="1"/>
  <c r="G23" i="1"/>
  <c r="B23" i="1"/>
  <c r="CR22" i="1"/>
  <c r="CL22" i="1"/>
  <c r="CN22" i="1" s="1"/>
  <c r="CO22" i="1" s="1"/>
  <c r="CQ22" i="1" s="1"/>
  <c r="BZ22" i="1"/>
  <c r="BQ22" i="1"/>
  <c r="BP22" i="1"/>
  <c r="BB22" i="1"/>
  <c r="BA22" i="1"/>
  <c r="BE22" i="1" s="1"/>
  <c r="BH22" i="1" s="1"/>
  <c r="AB22" i="1"/>
  <c r="U22" i="1"/>
  <c r="CJ22" i="1" s="1"/>
  <c r="T22" i="1"/>
  <c r="G22" i="1"/>
  <c r="B22" i="1"/>
  <c r="CR21" i="1"/>
  <c r="CL21" i="1"/>
  <c r="CN21" i="1" s="1"/>
  <c r="CO21" i="1" s="1"/>
  <c r="CQ21" i="1" s="1"/>
  <c r="CJ21" i="1"/>
  <c r="BZ21" i="1"/>
  <c r="BQ21" i="1"/>
  <c r="BP21" i="1"/>
  <c r="BL21" i="1"/>
  <c r="BE21" i="1"/>
  <c r="BH21" i="1" s="1"/>
  <c r="BD21" i="1"/>
  <c r="V21" i="1"/>
  <c r="X21" i="1" s="1"/>
  <c r="G21" i="1"/>
  <c r="B21" i="1"/>
  <c r="CR20" i="1"/>
  <c r="CL20" i="1"/>
  <c r="CN20" i="1" s="1"/>
  <c r="CO20" i="1" s="1"/>
  <c r="CQ20" i="1" s="1"/>
  <c r="CJ20" i="1"/>
  <c r="BQ20" i="1"/>
  <c r="BP20" i="1"/>
  <c r="BE20" i="1"/>
  <c r="BH20" i="1" s="1"/>
  <c r="V20" i="1"/>
  <c r="X20" i="1" s="1"/>
  <c r="G20" i="1"/>
  <c r="B20" i="1"/>
  <c r="CR19" i="1"/>
  <c r="CL19" i="1"/>
  <c r="CN19" i="1" s="1"/>
  <c r="CO19" i="1" s="1"/>
  <c r="CQ19" i="1" s="1"/>
  <c r="CJ19" i="1"/>
  <c r="BZ19" i="1"/>
  <c r="BQ19" i="1"/>
  <c r="BP19" i="1"/>
  <c r="BE19" i="1"/>
  <c r="BH19" i="1" s="1"/>
  <c r="BJ19" i="1" s="1"/>
  <c r="BL19" i="1" s="1"/>
  <c r="V19" i="1"/>
  <c r="X19" i="1" s="1"/>
  <c r="G19" i="1"/>
  <c r="B19" i="1"/>
  <c r="CR18" i="1"/>
  <c r="CL18" i="1"/>
  <c r="CN18" i="1" s="1"/>
  <c r="CO18" i="1" s="1"/>
  <c r="CQ18" i="1" s="1"/>
  <c r="CJ18" i="1"/>
  <c r="BQ18" i="1"/>
  <c r="BP18" i="1"/>
  <c r="BE18" i="1"/>
  <c r="BH18" i="1" s="1"/>
  <c r="BJ18" i="1" s="1"/>
  <c r="BL18" i="1" s="1"/>
  <c r="V18" i="1"/>
  <c r="X18" i="1" s="1"/>
  <c r="G18" i="1"/>
  <c r="B18" i="1"/>
  <c r="CR17" i="1"/>
  <c r="CL17" i="1"/>
  <c r="CN17" i="1" s="1"/>
  <c r="CO17" i="1" s="1"/>
  <c r="CQ17" i="1" s="1"/>
  <c r="CJ17" i="1"/>
  <c r="BQ17" i="1"/>
  <c r="BP17" i="1"/>
  <c r="BE17" i="1"/>
  <c r="BH17" i="1" s="1"/>
  <c r="BJ17" i="1" s="1"/>
  <c r="BL17" i="1" s="1"/>
  <c r="BA17" i="1"/>
  <c r="V17" i="1"/>
  <c r="X17" i="1" s="1"/>
  <c r="G17" i="1"/>
  <c r="B17" i="1"/>
  <c r="CL16" i="1"/>
  <c r="CN16" i="1" s="1"/>
  <c r="CO16" i="1" s="1"/>
  <c r="CQ16" i="1" s="1"/>
  <c r="CJ16" i="1"/>
  <c r="BZ16" i="1"/>
  <c r="BQ16" i="1"/>
  <c r="BP16" i="1"/>
  <c r="BE16" i="1"/>
  <c r="BH16" i="1" s="1"/>
  <c r="BI16" i="1" s="1"/>
  <c r="AW16" i="1"/>
  <c r="V16" i="1"/>
  <c r="X16" i="1" s="1"/>
  <c r="G16" i="1"/>
  <c r="B16" i="1"/>
  <c r="CR15" i="1"/>
  <c r="CL15" i="1"/>
  <c r="CN15" i="1" s="1"/>
  <c r="CO15" i="1" s="1"/>
  <c r="CQ15" i="1" s="1"/>
  <c r="CJ15" i="1"/>
  <c r="BQ15" i="1"/>
  <c r="BP15" i="1"/>
  <c r="BE15" i="1"/>
  <c r="BL15" i="1" s="1"/>
  <c r="V15" i="1"/>
  <c r="X15" i="1" s="1"/>
  <c r="G15" i="1"/>
  <c r="B15" i="1"/>
  <c r="CR14" i="1"/>
  <c r="CL14" i="1"/>
  <c r="CN14" i="1" s="1"/>
  <c r="CO14" i="1" s="1"/>
  <c r="CQ14" i="1" s="1"/>
  <c r="CJ14" i="1"/>
  <c r="BQ14" i="1"/>
  <c r="BP14" i="1"/>
  <c r="BE14" i="1"/>
  <c r="BL14" i="1" s="1"/>
  <c r="V14" i="1"/>
  <c r="X14" i="1" s="1"/>
  <c r="G14" i="1"/>
  <c r="B14" i="1"/>
  <c r="CR13" i="1"/>
  <c r="CL13" i="1"/>
  <c r="CN13" i="1" s="1"/>
  <c r="CO13" i="1" s="1"/>
  <c r="CQ13" i="1" s="1"/>
  <c r="CJ13" i="1"/>
  <c r="BZ13" i="1"/>
  <c r="BQ13" i="1"/>
  <c r="BE13" i="1"/>
  <c r="BH13" i="1" s="1"/>
  <c r="BJ13" i="1" s="1"/>
  <c r="V13" i="1"/>
  <c r="X13" i="1" s="1"/>
  <c r="G13" i="1"/>
  <c r="B13" i="1"/>
  <c r="CR12" i="1"/>
  <c r="CL12" i="1"/>
  <c r="CN12" i="1" s="1"/>
  <c r="CO12" i="1" s="1"/>
  <c r="CQ12" i="1" s="1"/>
  <c r="CJ12" i="1"/>
  <c r="BZ12" i="1"/>
  <c r="BQ12" i="1"/>
  <c r="BE12" i="1"/>
  <c r="BH12" i="1" s="1"/>
  <c r="BJ12" i="1" s="1"/>
  <c r="V12" i="1"/>
  <c r="W12" i="1" s="1"/>
  <c r="X12" i="1" s="1"/>
  <c r="G12" i="1"/>
  <c r="B12" i="1"/>
  <c r="CL11" i="1"/>
  <c r="CN11" i="1" s="1"/>
  <c r="CO11" i="1" s="1"/>
  <c r="CQ11" i="1" s="1"/>
  <c r="CJ11" i="1"/>
  <c r="BZ11" i="1"/>
  <c r="BQ11" i="1"/>
  <c r="BB11" i="1"/>
  <c r="BE11" i="1" s="1"/>
  <c r="AB11" i="1"/>
  <c r="V11" i="1"/>
  <c r="X11" i="1" s="1"/>
  <c r="U11" i="1"/>
  <c r="G11" i="1"/>
  <c r="B11" i="1"/>
  <c r="CR10" i="1"/>
  <c r="CL10" i="1"/>
  <c r="CN10" i="1" s="1"/>
  <c r="CO10" i="1" s="1"/>
  <c r="CQ10" i="1" s="1"/>
  <c r="CJ10" i="1"/>
  <c r="BZ10" i="1"/>
  <c r="BE10" i="1"/>
  <c r="BH10" i="1" s="1"/>
  <c r="BI10" i="1" s="1"/>
  <c r="BA10" i="1"/>
  <c r="V10" i="1"/>
  <c r="W10" i="1" s="1"/>
  <c r="G10" i="1"/>
  <c r="B10" i="1"/>
  <c r="CR9" i="1"/>
  <c r="CL9" i="1"/>
  <c r="CN9" i="1" s="1"/>
  <c r="CO9" i="1" s="1"/>
  <c r="CQ9" i="1" s="1"/>
  <c r="CJ9" i="1"/>
  <c r="BZ9" i="1"/>
  <c r="BA9" i="1"/>
  <c r="BE9" i="1" s="1"/>
  <c r="V9" i="1"/>
  <c r="W9" i="1" s="1"/>
  <c r="G9" i="1"/>
  <c r="B9" i="1"/>
  <c r="CR8" i="1"/>
  <c r="CL8" i="1"/>
  <c r="CN8" i="1" s="1"/>
  <c r="CO8" i="1" s="1"/>
  <c r="CQ8" i="1" s="1"/>
  <c r="BZ8" i="1"/>
  <c r="BQ8" i="1"/>
  <c r="BB8" i="1"/>
  <c r="BA8" i="1"/>
  <c r="U8" i="1"/>
  <c r="CJ8" i="1" s="1"/>
  <c r="T8" i="1"/>
  <c r="V8" i="1" s="1"/>
  <c r="G8" i="1"/>
  <c r="B8" i="1"/>
  <c r="CR7" i="1"/>
  <c r="CL7" i="1"/>
  <c r="CN7" i="1" s="1"/>
  <c r="CO7" i="1" s="1"/>
  <c r="CQ7" i="1" s="1"/>
  <c r="CJ7" i="1"/>
  <c r="BZ7" i="1"/>
  <c r="BA7" i="1"/>
  <c r="BE7" i="1" s="1"/>
  <c r="V7" i="1"/>
  <c r="G7" i="1"/>
  <c r="B7" i="1"/>
  <c r="CR6" i="1"/>
  <c r="CL6" i="1"/>
  <c r="CN6" i="1" s="1"/>
  <c r="CO6" i="1" s="1"/>
  <c r="CQ6" i="1" s="1"/>
  <c r="CJ6" i="1"/>
  <c r="BZ6" i="1"/>
  <c r="BE6" i="1"/>
  <c r="BH6" i="1" s="1"/>
  <c r="BJ6" i="1" s="1"/>
  <c r="V6" i="1"/>
  <c r="X6" i="1" s="1"/>
  <c r="G6" i="1"/>
  <c r="B6" i="1"/>
  <c r="CR5" i="1"/>
  <c r="CL5" i="1"/>
  <c r="CN5" i="1" s="1"/>
  <c r="CO5" i="1" s="1"/>
  <c r="CQ5" i="1" s="1"/>
  <c r="BZ5" i="1"/>
  <c r="BA5" i="1"/>
  <c r="AK5" i="1"/>
  <c r="CJ5" i="1" s="1"/>
  <c r="V5" i="1"/>
  <c r="X5" i="1" s="1"/>
  <c r="G5" i="1"/>
  <c r="B5" i="1"/>
  <c r="B4" i="1"/>
  <c r="C4" i="1" s="1"/>
  <c r="D4" i="1" s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CF4" i="1" s="1"/>
  <c r="CG4" i="1" s="1"/>
  <c r="CH4" i="1" s="1"/>
  <c r="CI4" i="1" s="1"/>
  <c r="CJ4" i="1" s="1"/>
  <c r="CK4" i="1" s="1"/>
  <c r="CL4" i="1" s="1"/>
  <c r="CM4" i="1" s="1"/>
  <c r="CN4" i="1" s="1"/>
  <c r="CO4" i="1" s="1"/>
  <c r="CP4" i="1" s="1"/>
  <c r="CQ4" i="1" s="1"/>
  <c r="CR4" i="1" s="1"/>
  <c r="CS4" i="1" s="1"/>
  <c r="CT4" i="1" s="1"/>
  <c r="CU4" i="1" s="1"/>
  <c r="CV4" i="1" s="1"/>
  <c r="BK100" i="1" l="1"/>
  <c r="BI40" i="1"/>
  <c r="BL6" i="1"/>
  <c r="BK40" i="1"/>
  <c r="BK34" i="1"/>
  <c r="BK37" i="1"/>
  <c r="BK41" i="1"/>
  <c r="BJ59" i="1"/>
  <c r="BL59" i="1" s="1"/>
  <c r="BI49" i="1"/>
  <c r="BK49" i="1" s="1"/>
  <c r="BI6" i="1"/>
  <c r="BK6" i="1" s="1"/>
  <c r="BJ10" i="1"/>
  <c r="BI24" i="1"/>
  <c r="BK24" i="1" s="1"/>
  <c r="BK52" i="1"/>
  <c r="X10" i="1"/>
  <c r="BL28" i="1"/>
  <c r="BI68" i="1"/>
  <c r="BK68" i="1" s="1"/>
  <c r="BJ65" i="1"/>
  <c r="BI65" i="1"/>
  <c r="BK65" i="1" s="1"/>
  <c r="BJ77" i="1"/>
  <c r="BL77" i="1" s="1"/>
  <c r="BI77" i="1"/>
  <c r="BK77" i="1" s="1"/>
  <c r="BJ21" i="1"/>
  <c r="BI21" i="1"/>
  <c r="BK21" i="1" s="1"/>
  <c r="BI66" i="1"/>
  <c r="BK66" i="1" s="1"/>
  <c r="BH27" i="1"/>
  <c r="BI27" i="1" s="1"/>
  <c r="BK27" i="1" s="1"/>
  <c r="BL12" i="1"/>
  <c r="BJ52" i="1"/>
  <c r="BL52" i="1" s="1"/>
  <c r="BK122" i="1"/>
  <c r="BK124" i="1"/>
  <c r="BP111" i="1"/>
  <c r="BI42" i="1"/>
  <c r="BK42" i="1" s="1"/>
  <c r="BJ48" i="1"/>
  <c r="BL48" i="1" s="1"/>
  <c r="BJ100" i="1"/>
  <c r="BL100" i="1" s="1"/>
  <c r="BK62" i="1"/>
  <c r="BK121" i="1"/>
  <c r="BK10" i="1"/>
  <c r="BJ51" i="1"/>
  <c r="BL51" i="1" s="1"/>
  <c r="BI51" i="1"/>
  <c r="BK51" i="1" s="1"/>
  <c r="BJ109" i="1"/>
  <c r="BL109" i="1" s="1"/>
  <c r="BI109" i="1"/>
  <c r="BK109" i="1" s="1"/>
  <c r="BJ108" i="1"/>
  <c r="BL108" i="1" s="1"/>
  <c r="BI108" i="1"/>
  <c r="BK108" i="1" s="1"/>
  <c r="BJ20" i="1"/>
  <c r="BL20" i="1" s="1"/>
  <c r="BI20" i="1"/>
  <c r="BK20" i="1" s="1"/>
  <c r="BJ32" i="1"/>
  <c r="BL32" i="1" s="1"/>
  <c r="BI32" i="1"/>
  <c r="BJ53" i="1"/>
  <c r="BL53" i="1" s="1"/>
  <c r="BI53" i="1"/>
  <c r="BK53" i="1" s="1"/>
  <c r="BI33" i="1"/>
  <c r="BK33" i="1" s="1"/>
  <c r="BJ33" i="1"/>
  <c r="BL33" i="1" s="1"/>
  <c r="BJ58" i="1"/>
  <c r="BL58" i="1" s="1"/>
  <c r="BI58" i="1"/>
  <c r="BK58" i="1" s="1"/>
  <c r="BI111" i="1"/>
  <c r="BK111" i="1" s="1"/>
  <c r="BJ111" i="1"/>
  <c r="BL111" i="1" s="1"/>
  <c r="BJ116" i="1"/>
  <c r="BL116" i="1" s="1"/>
  <c r="BI116" i="1"/>
  <c r="BK116" i="1" s="1"/>
  <c r="X9" i="1"/>
  <c r="BK29" i="1"/>
  <c r="BK63" i="1"/>
  <c r="BJ75" i="1"/>
  <c r="BL75" i="1" s="1"/>
  <c r="BK126" i="1"/>
  <c r="W7" i="1"/>
  <c r="X7" i="1" s="1"/>
  <c r="BI17" i="1"/>
  <c r="BK17" i="1" s="1"/>
  <c r="BI60" i="1"/>
  <c r="BK60" i="1" s="1"/>
  <c r="BJ29" i="1"/>
  <c r="BL29" i="1" s="1"/>
  <c r="BJ63" i="1"/>
  <c r="BL63" i="1" s="1"/>
  <c r="BK127" i="1"/>
  <c r="BH110" i="1"/>
  <c r="BI115" i="1"/>
  <c r="BK115" i="1" s="1"/>
  <c r="BI26" i="1"/>
  <c r="BK26" i="1" s="1"/>
  <c r="BJ41" i="1"/>
  <c r="BL41" i="1" s="1"/>
  <c r="BJ62" i="1"/>
  <c r="BL62" i="1" s="1"/>
  <c r="BI19" i="1"/>
  <c r="BK19" i="1" s="1"/>
  <c r="BK125" i="1"/>
  <c r="M5" i="1"/>
  <c r="BK120" i="1"/>
  <c r="BK123" i="1"/>
  <c r="BK61" i="1"/>
  <c r="BK16" i="1"/>
  <c r="BI43" i="1"/>
  <c r="BK43" i="1" s="1"/>
  <c r="BI46" i="1"/>
  <c r="BK46" i="1" s="1"/>
  <c r="BK48" i="1"/>
  <c r="BI56" i="1"/>
  <c r="BK56" i="1" s="1"/>
  <c r="BK59" i="1"/>
  <c r="BJ61" i="1"/>
  <c r="BL61" i="1" s="1"/>
  <c r="BH81" i="1"/>
  <c r="BJ81" i="1" s="1"/>
  <c r="BL81" i="1" s="1"/>
  <c r="BI114" i="1"/>
  <c r="BK114" i="1" s="1"/>
  <c r="BJ23" i="1"/>
  <c r="BL23" i="1" s="1"/>
  <c r="BI23" i="1"/>
  <c r="BK23" i="1" s="1"/>
  <c r="BL11" i="1"/>
  <c r="BH11" i="1"/>
  <c r="BJ25" i="1"/>
  <c r="BL25" i="1" s="1"/>
  <c r="BI25" i="1"/>
  <c r="BK25" i="1" s="1"/>
  <c r="BJ22" i="1"/>
  <c r="BL22" i="1" s="1"/>
  <c r="BI22" i="1"/>
  <c r="BK22" i="1" s="1"/>
  <c r="BH9" i="1"/>
  <c r="BL9" i="1"/>
  <c r="BJ36" i="1"/>
  <c r="BL36" i="1" s="1"/>
  <c r="BI36" i="1"/>
  <c r="BK36" i="1" s="1"/>
  <c r="W8" i="1"/>
  <c r="X8" i="1" s="1"/>
  <c r="BI39" i="1"/>
  <c r="BK39" i="1" s="1"/>
  <c r="BJ39" i="1"/>
  <c r="BL39" i="1" s="1"/>
  <c r="BH7" i="1"/>
  <c r="BL7" i="1"/>
  <c r="BI31" i="1"/>
  <c r="BK31" i="1" s="1"/>
  <c r="BJ31" i="1"/>
  <c r="BL31" i="1" s="1"/>
  <c r="BJ45" i="1"/>
  <c r="BL45" i="1" s="1"/>
  <c r="BI45" i="1"/>
  <c r="BK45" i="1" s="1"/>
  <c r="BJ74" i="1"/>
  <c r="BL74" i="1" s="1"/>
  <c r="BI74" i="1"/>
  <c r="BK74" i="1" s="1"/>
  <c r="BJ86" i="1"/>
  <c r="BL86" i="1" s="1"/>
  <c r="BI86" i="1"/>
  <c r="BK86" i="1" s="1"/>
  <c r="BJ92" i="1"/>
  <c r="BL92" i="1" s="1"/>
  <c r="BI92" i="1"/>
  <c r="BK92" i="1" s="1"/>
  <c r="BI97" i="1"/>
  <c r="BK97" i="1" s="1"/>
  <c r="BJ97" i="1"/>
  <c r="BL97" i="1" s="1"/>
  <c r="BE8" i="1"/>
  <c r="BL10" i="1"/>
  <c r="BI18" i="1"/>
  <c r="BK18" i="1" s="1"/>
  <c r="BI30" i="1"/>
  <c r="BK30" i="1" s="1"/>
  <c r="CJ32" i="1"/>
  <c r="BI69" i="1"/>
  <c r="BK69" i="1" s="1"/>
  <c r="BJ69" i="1"/>
  <c r="BL69" i="1" s="1"/>
  <c r="V23" i="1"/>
  <c r="X23" i="1" s="1"/>
  <c r="BI50" i="1"/>
  <c r="BK50" i="1" s="1"/>
  <c r="BJ50" i="1"/>
  <c r="BL50" i="1" s="1"/>
  <c r="BI57" i="1"/>
  <c r="BK57" i="1" s="1"/>
  <c r="BJ57" i="1"/>
  <c r="BL57" i="1" s="1"/>
  <c r="BI13" i="1"/>
  <c r="BK13" i="1" s="1"/>
  <c r="BH14" i="1"/>
  <c r="BK54" i="1"/>
  <c r="BJ67" i="1"/>
  <c r="BL67" i="1" s="1"/>
  <c r="BI67" i="1"/>
  <c r="BK67" i="1" s="1"/>
  <c r="BI76" i="1"/>
  <c r="BK76" i="1" s="1"/>
  <c r="BJ76" i="1"/>
  <c r="BL76" i="1" s="1"/>
  <c r="BB5" i="1"/>
  <c r="BE5" i="1" s="1"/>
  <c r="BH15" i="1"/>
  <c r="BJ34" i="1"/>
  <c r="BL34" i="1" s="1"/>
  <c r="BI35" i="1"/>
  <c r="BK35" i="1" s="1"/>
  <c r="BJ37" i="1"/>
  <c r="BL37" i="1" s="1"/>
  <c r="BJ54" i="1"/>
  <c r="BL54" i="1" s="1"/>
  <c r="BI64" i="1"/>
  <c r="BK64" i="1" s="1"/>
  <c r="BJ71" i="1"/>
  <c r="BL71" i="1" s="1"/>
  <c r="BI71" i="1"/>
  <c r="BK71" i="1" s="1"/>
  <c r="BJ72" i="1"/>
  <c r="BL72" i="1" s="1"/>
  <c r="BI72" i="1"/>
  <c r="BK72" i="1" s="1"/>
  <c r="BI12" i="1"/>
  <c r="BK12" i="1" s="1"/>
  <c r="BJ16" i="1"/>
  <c r="BL16" i="1" s="1"/>
  <c r="BI28" i="1"/>
  <c r="BK28" i="1" s="1"/>
  <c r="BI38" i="1"/>
  <c r="BK38" i="1" s="1"/>
  <c r="BI44" i="1"/>
  <c r="BK44" i="1" s="1"/>
  <c r="BI47" i="1"/>
  <c r="BK47" i="1" s="1"/>
  <c r="BJ55" i="1"/>
  <c r="BL55" i="1" s="1"/>
  <c r="BI55" i="1"/>
  <c r="BK55" i="1" s="1"/>
  <c r="BL13" i="1"/>
  <c r="V22" i="1"/>
  <c r="X22" i="1" s="1"/>
  <c r="BJ89" i="1"/>
  <c r="BI89" i="1"/>
  <c r="BK89" i="1" s="1"/>
  <c r="BJ91" i="1"/>
  <c r="BL91" i="1" s="1"/>
  <c r="BI91" i="1"/>
  <c r="BK91" i="1" s="1"/>
  <c r="BJ98" i="1"/>
  <c r="BL98" i="1" s="1"/>
  <c r="BI98" i="1"/>
  <c r="BJ112" i="1"/>
  <c r="BL112" i="1" s="1"/>
  <c r="BI112" i="1"/>
  <c r="BK112" i="1" s="1"/>
  <c r="BJ117" i="1"/>
  <c r="BL117" i="1" s="1"/>
  <c r="BI117" i="1"/>
  <c r="BK117" i="1" s="1"/>
  <c r="BJ80" i="1"/>
  <c r="BL80" i="1" s="1"/>
  <c r="BI80" i="1"/>
  <c r="BK80" i="1" s="1"/>
  <c r="BJ90" i="1"/>
  <c r="BL90" i="1" s="1"/>
  <c r="BI90" i="1"/>
  <c r="BK90" i="1" s="1"/>
  <c r="BI70" i="1"/>
  <c r="BK70" i="1" s="1"/>
  <c r="BJ82" i="1"/>
  <c r="BL82" i="1" s="1"/>
  <c r="BI82" i="1"/>
  <c r="BK82" i="1" s="1"/>
  <c r="BJ99" i="1"/>
  <c r="BL99" i="1" s="1"/>
  <c r="BI99" i="1"/>
  <c r="BK99" i="1" s="1"/>
  <c r="BJ101" i="1"/>
  <c r="BL101" i="1" s="1"/>
  <c r="BI101" i="1"/>
  <c r="BK101" i="1" s="1"/>
  <c r="BI78" i="1"/>
  <c r="BK78" i="1" s="1"/>
  <c r="BJ78" i="1"/>
  <c r="BL78" i="1" s="1"/>
  <c r="BJ96" i="1"/>
  <c r="BI96" i="1"/>
  <c r="BK96" i="1" s="1"/>
  <c r="BJ104" i="1"/>
  <c r="BL104" i="1" s="1"/>
  <c r="BI104" i="1"/>
  <c r="BK104" i="1" s="1"/>
  <c r="BJ113" i="1"/>
  <c r="BL113" i="1" s="1"/>
  <c r="BI113" i="1"/>
  <c r="BK113" i="1" s="1"/>
  <c r="BJ119" i="1"/>
  <c r="BL119" i="1" s="1"/>
  <c r="BI119" i="1"/>
  <c r="BK119" i="1" s="1"/>
  <c r="BK75" i="1"/>
  <c r="BJ105" i="1"/>
  <c r="BL105" i="1" s="1"/>
  <c r="BI105" i="1"/>
  <c r="BK105" i="1" s="1"/>
  <c r="BJ73" i="1"/>
  <c r="BL73" i="1" s="1"/>
  <c r="BI73" i="1"/>
  <c r="BK73" i="1" s="1"/>
  <c r="BJ83" i="1"/>
  <c r="BL83" i="1" s="1"/>
  <c r="BI83" i="1"/>
  <c r="BK83" i="1" s="1"/>
  <c r="BJ88" i="1"/>
  <c r="BI88" i="1"/>
  <c r="BK88" i="1" s="1"/>
  <c r="BJ94" i="1"/>
  <c r="BL94" i="1" s="1"/>
  <c r="BI94" i="1"/>
  <c r="BK94" i="1" s="1"/>
  <c r="BJ118" i="1"/>
  <c r="BL118" i="1" s="1"/>
  <c r="BI118" i="1"/>
  <c r="BK118" i="1" s="1"/>
  <c r="BJ85" i="1"/>
  <c r="BI85" i="1"/>
  <c r="BK85" i="1" s="1"/>
  <c r="BJ87" i="1"/>
  <c r="BL87" i="1" s="1"/>
  <c r="BI87" i="1"/>
  <c r="BK87" i="1" s="1"/>
  <c r="BJ93" i="1"/>
  <c r="BL93" i="1" s="1"/>
  <c r="BI93" i="1"/>
  <c r="BK93" i="1" s="1"/>
  <c r="BI84" i="1"/>
  <c r="BK84" i="1" s="1"/>
  <c r="BI95" i="1"/>
  <c r="BK95" i="1" s="1"/>
  <c r="CJ98" i="1"/>
  <c r="V101" i="1"/>
  <c r="X101" i="1" s="1"/>
  <c r="BI103" i="1"/>
  <c r="BK103" i="1" s="1"/>
  <c r="V107" i="1"/>
  <c r="X107" i="1" s="1"/>
  <c r="V102" i="1"/>
  <c r="X102" i="1" s="1"/>
  <c r="BB102" i="1"/>
  <c r="BE102" i="1" s="1"/>
  <c r="BH102" i="1" s="1"/>
  <c r="BI106" i="1"/>
  <c r="BK106" i="1" s="1"/>
  <c r="BH107" i="1"/>
  <c r="BI79" i="1"/>
  <c r="BK79" i="1" s="1"/>
  <c r="BK98" i="1" l="1"/>
  <c r="BK32" i="1"/>
  <c r="BJ27" i="1"/>
  <c r="BI81" i="1"/>
  <c r="BK81" i="1" s="1"/>
  <c r="BJ110" i="1"/>
  <c r="BL110" i="1" s="1"/>
  <c r="BI110" i="1"/>
  <c r="BK110" i="1" s="1"/>
  <c r="BH5" i="1"/>
  <c r="BL5" i="1"/>
  <c r="BJ14" i="1"/>
  <c r="BI14" i="1"/>
  <c r="BK14" i="1" s="1"/>
  <c r="BJ11" i="1"/>
  <c r="BI11" i="1"/>
  <c r="BK11" i="1" s="1"/>
  <c r="BJ7" i="1"/>
  <c r="BI7" i="1"/>
  <c r="BK7" i="1" s="1"/>
  <c r="BI9" i="1"/>
  <c r="BK9" i="1" s="1"/>
  <c r="BJ9" i="1"/>
  <c r="BJ107" i="1"/>
  <c r="BL107" i="1" s="1"/>
  <c r="BI107" i="1"/>
  <c r="BK107" i="1" s="1"/>
  <c r="BJ102" i="1"/>
  <c r="BL102" i="1" s="1"/>
  <c r="BI102" i="1"/>
  <c r="BK102" i="1" s="1"/>
  <c r="BJ15" i="1"/>
  <c r="BI15" i="1"/>
  <c r="BK15" i="1" s="1"/>
  <c r="BL8" i="1"/>
  <c r="BH8" i="1"/>
  <c r="BJ8" i="1" l="1"/>
  <c r="BI8" i="1"/>
  <c r="BK8" i="1" s="1"/>
  <c r="BJ5" i="1"/>
  <c r="BI5" i="1"/>
  <c r="BK5" i="1" s="1"/>
</calcChain>
</file>

<file path=xl/sharedStrings.xml><?xml version="1.0" encoding="utf-8"?>
<sst xmlns="http://schemas.openxmlformats.org/spreadsheetml/2006/main" count="5606" uniqueCount="1175">
  <si>
    <t>Marfani Steel Private Limited</t>
  </si>
  <si>
    <t>Financial Year</t>
  </si>
  <si>
    <t>Last 6 Digit BL No.</t>
  </si>
  <si>
    <t>Order Status</t>
  </si>
  <si>
    <t>Intity Name</t>
  </si>
  <si>
    <t>BL No.</t>
  </si>
  <si>
    <t>ETA</t>
  </si>
  <si>
    <t>Free Till Date</t>
  </si>
  <si>
    <t>Payment Term</t>
  </si>
  <si>
    <t>CFS Status</t>
  </si>
  <si>
    <t>BOE Status</t>
  </si>
  <si>
    <t>BL  Date</t>
  </si>
  <si>
    <t>SO  No.</t>
  </si>
  <si>
    <t>Nos of Container</t>
  </si>
  <si>
    <t>Order dt</t>
  </si>
  <si>
    <t>Seller Name 
(Short)</t>
  </si>
  <si>
    <t>Seller Name</t>
  </si>
  <si>
    <t>Pruduct Name As per SO</t>
  </si>
  <si>
    <t>Category</t>
  </si>
  <si>
    <t>COMPOSTION</t>
  </si>
  <si>
    <t>(as per SO) QTY
IN MT</t>
  </si>
  <si>
    <t>(as per SO) Rate</t>
  </si>
  <si>
    <t>Taxable Amount</t>
  </si>
  <si>
    <t>Advance Amount</t>
  </si>
  <si>
    <t>Amount After ADV deduction</t>
  </si>
  <si>
    <t>D.N. No.</t>
  </si>
  <si>
    <t>DN. Date</t>
  </si>
  <si>
    <t>Container No. 1</t>
  </si>
  <si>
    <t>Actual Qty. as per DN</t>
  </si>
  <si>
    <t>Container No. 2</t>
  </si>
  <si>
    <t>Container No. 3</t>
  </si>
  <si>
    <t>Container No. 4</t>
  </si>
  <si>
    <t>Container No. 5</t>
  </si>
  <si>
    <t>Total BL Qty.
In KGS</t>
  </si>
  <si>
    <t>DN Remarks</t>
  </si>
  <si>
    <t>Container Type</t>
  </si>
  <si>
    <t>Seal No.</t>
  </si>
  <si>
    <t>Vessel /Voyage</t>
  </si>
  <si>
    <t>Port of Loading</t>
  </si>
  <si>
    <t>Port of Discharge</t>
  </si>
  <si>
    <t>Place of Delivery</t>
  </si>
  <si>
    <t>HSN Code</t>
  </si>
  <si>
    <t xml:space="preserve">INSURANCE </t>
  </si>
  <si>
    <t>PSIC</t>
  </si>
  <si>
    <t>SIMS Status</t>
  </si>
  <si>
    <t>SIMS Amount</t>
  </si>
  <si>
    <t>SIMS Crtificate Number</t>
  </si>
  <si>
    <t>Invoice No.</t>
  </si>
  <si>
    <t>Invoice Date</t>
  </si>
  <si>
    <t>Invoice Qty.</t>
  </si>
  <si>
    <t>Rate as per Invoice</t>
  </si>
  <si>
    <t>Conversion Rate at the Time of Advance</t>
  </si>
  <si>
    <t>Conversion Rateat the Time of Final Payment</t>
  </si>
  <si>
    <t>Advance Amount as per Invoice</t>
  </si>
  <si>
    <t>Advance Payment Date</t>
  </si>
  <si>
    <t>Amount Payable in RS (APPROX)</t>
  </si>
  <si>
    <t>Final Amount Paid in USD</t>
  </si>
  <si>
    <t>Total Amount required</t>
  </si>
  <si>
    <t>Final Amount Paid in INR</t>
  </si>
  <si>
    <t>Final Payment Date</t>
  </si>
  <si>
    <t>Adv Amount as per Swift Copy
in USD</t>
  </si>
  <si>
    <t>Adv Amount as per Swift Copy
in INR</t>
  </si>
  <si>
    <t>BANK CHARGES CHARGED BY PARTY</t>
  </si>
  <si>
    <t>Bank Charges as per debit advice</t>
  </si>
  <si>
    <t>Shipment Status</t>
  </si>
  <si>
    <t>Documents Status</t>
  </si>
  <si>
    <t>Document Tracking Number</t>
  </si>
  <si>
    <t>Shiping Line</t>
  </si>
  <si>
    <t>CHA Name
(Short)</t>
  </si>
  <si>
    <t>CHA Name</t>
  </si>
  <si>
    <t>JOB NO.</t>
  </si>
  <si>
    <t>HSS Agmt</t>
  </si>
  <si>
    <t>DO Payment  Amount</t>
  </si>
  <si>
    <t>DO Payment Status</t>
  </si>
  <si>
    <t>Detention Period From</t>
  </si>
  <si>
    <t>Detention Period TO</t>
  </si>
  <si>
    <t>Detention Amount</t>
  </si>
  <si>
    <t>Damage Claim</t>
  </si>
  <si>
    <t>Reason for Dammage</t>
  </si>
  <si>
    <t>BOE No.</t>
  </si>
  <si>
    <t>BOE OCC Status</t>
  </si>
  <si>
    <t>Conversion Rate at the Time of BOE</t>
  </si>
  <si>
    <t>DUTY AMT APPROX in INR</t>
  </si>
  <si>
    <t>Taxable Amount as per BOE in USD</t>
  </si>
  <si>
    <t>Taxable Amount as per BOE in INR</t>
  </si>
  <si>
    <t>BCD and Other Charges</t>
  </si>
  <si>
    <t>Total BOE Taxable Value</t>
  </si>
  <si>
    <t>DUTY AMOUNT</t>
  </si>
  <si>
    <t>Interest/ Penelty</t>
  </si>
  <si>
    <t>Total BOE Amount</t>
  </si>
  <si>
    <t>CHA Invoice Amount</t>
  </si>
  <si>
    <t>Container Received with us Date</t>
  </si>
  <si>
    <t>Bank ORM No. (for Advance Payment)</t>
  </si>
  <si>
    <t>Bank ORM No. (for Final Payment)</t>
  </si>
  <si>
    <t>Remarks</t>
  </si>
  <si>
    <t>25-26</t>
  </si>
  <si>
    <t>Closed</t>
  </si>
  <si>
    <t>MSPL</t>
  </si>
  <si>
    <t>MAXJDE06422627</t>
  </si>
  <si>
    <t>SWB</t>
  </si>
  <si>
    <t>Yes</t>
  </si>
  <si>
    <t>AQG</t>
  </si>
  <si>
    <t>AL-QARYAN GROUP FOR TRADING, INDUSTRY &amp; CONTRACTING</t>
  </si>
  <si>
    <t>Stainless-Steel Cladding 316</t>
  </si>
  <si>
    <t>SS 316 CLADDING (12%) CONTENT</t>
  </si>
  <si>
    <t>CR - 2.5% - 3.5% Ni - 1.5% - 2% Mo - 0% - 1% Fe - BALANCE</t>
  </si>
  <si>
    <t>8110045034/ 8110045036</t>
  </si>
  <si>
    <t>MXCU0048022</t>
  </si>
  <si>
    <t>CXDU1132790</t>
  </si>
  <si>
    <t>MXCU0055947</t>
  </si>
  <si>
    <t>-</t>
  </si>
  <si>
    <t>Cladded Steel &amp; Stainless 316</t>
  </si>
  <si>
    <t>20FT</t>
  </si>
  <si>
    <t>08097/ 09668/ 08096</t>
  </si>
  <si>
    <t>LOA PEACE/ 011E</t>
  </si>
  <si>
    <t>Jeddah</t>
  </si>
  <si>
    <t>NHAVASHEVA</t>
  </si>
  <si>
    <t>PO226200301003022</t>
  </si>
  <si>
    <t>PSICNISLLC649215AM26</t>
  </si>
  <si>
    <t>Filled</t>
  </si>
  <si>
    <t>MOSSIMS030426497207</t>
  </si>
  <si>
    <t>9000099288/ 9000099289/ 9000099290</t>
  </si>
  <si>
    <t>Delivered</t>
  </si>
  <si>
    <t>Released</t>
  </si>
  <si>
    <t>NA</t>
  </si>
  <si>
    <t>Maxicon Shipping Agencies</t>
  </si>
  <si>
    <t>CityLink</t>
  </si>
  <si>
    <t>CITY LINK LOGISTICS</t>
  </si>
  <si>
    <t>CLL6961</t>
  </si>
  <si>
    <t>NO</t>
  </si>
  <si>
    <t>Paid</t>
  </si>
  <si>
    <t>CONTAINER GOT DAMAGED</t>
  </si>
  <si>
    <t>0059NMDC0004527</t>
  </si>
  <si>
    <t>MAXJDE00072627</t>
  </si>
  <si>
    <t xml:space="preserve">SS 316 CLADDING (12%) </t>
  </si>
  <si>
    <t>MXCU0038683</t>
  </si>
  <si>
    <t>09661</t>
  </si>
  <si>
    <t>X-PRESS ALTAIR/ 26003E</t>
  </si>
  <si>
    <t>PSICMSXXXX653956AM27</t>
  </si>
  <si>
    <t>MOSSIMS030426497221</t>
  </si>
  <si>
    <t>CLL7014</t>
  </si>
  <si>
    <t>0059NMDC0004427</t>
  </si>
  <si>
    <t>VASJEDNSA084931</t>
  </si>
  <si>
    <t>WASTE AND SCRAP WITH 316 CLADDING</t>
  </si>
  <si>
    <t xml:space="preserve">SS 316 CLADDING ( 12% to 16%) </t>
  </si>
  <si>
    <t>8110044869/ 8110044875/ 8110044876</t>
  </si>
  <si>
    <t>TRHU2102572</t>
  </si>
  <si>
    <t>VMLU3708606</t>
  </si>
  <si>
    <t>VMLU3707425</t>
  </si>
  <si>
    <t>09519/ 09506/ 09504</t>
  </si>
  <si>
    <t>X-PRESS KABRU / 26003E</t>
  </si>
  <si>
    <t>PSICNISLLC652158AM27</t>
  </si>
  <si>
    <t>MOSSIMS010426494514</t>
  </si>
  <si>
    <t>9000099014/ 9000099017/ 9000099018</t>
  </si>
  <si>
    <t>Goodrich Maritime Pvt Ltd</t>
  </si>
  <si>
    <t>CLL6986</t>
  </si>
  <si>
    <t>0059NMDC0001727</t>
  </si>
  <si>
    <t>EMIVSAESJD202893</t>
  </si>
  <si>
    <t>1) STAINLESS STEEL SCRAP 309 GRADE FOR MELTING PURPOSE
2)A286 SCRAP
3)NICKEL ALLOY MELTING SCRAP JUNTO NI-904 GRADE
4)STAINLESS STEEL MELTING SCRAP GRADE 2507
5)STAINLESS STEEL SCRAP 316 GRADE FOR MELTING PURPOSE</t>
  </si>
  <si>
    <t>1) SS 309
2)A286
3)904 
4)2507
5)SS316 LOOSE</t>
  </si>
  <si>
    <t>1. STAINLESS STEEL SCRAP 309 GRADE FOR MELT 
NI- 12%-15% CR- 22%-24% FE- Balance
2. A286 SCRAP 
NI- 24%-27% CR- 13.50%-16% MO- 1%-1.5% FE- Balance
3. NICKEL ALLOY MELTING SCRAP JUNTO NI-904 
NI- 23%-28% CR- 19%-23% MO- 4%-5% CU- 1%-2% FE- Balance
4. STAINLESS STEEL MELTING SCRAP GRADE 2507 
NI- 6%-8% CR- 24%-26% MO- 3%-5% FE- Balance
5. STAINLESS STEEL SCRAP 316 GRADE FOR MELT 
NI- 10%-14% CR- 16%-18% MO-2%-3% FE- Balance</t>
  </si>
  <si>
    <t>ESDU7043201</t>
  </si>
  <si>
    <t>(Deductions:4Jumbo Bags@2 Kg=8Kg)
316 - LOOSE - 309-2*2-4, 904-1*2-2, A286-1*2-2 &amp; 2507-LOOSE -&gt; 8 KG</t>
  </si>
  <si>
    <t>03817</t>
  </si>
  <si>
    <t>ASL NANJING/02613/E</t>
  </si>
  <si>
    <t>MUNDRA</t>
  </si>
  <si>
    <t>75030010/ 72042190</t>
  </si>
  <si>
    <t>681620AM27</t>
  </si>
  <si>
    <t>MOSSIMS300426530159</t>
  </si>
  <si>
    <t>At Seller</t>
  </si>
  <si>
    <t>EMIRATES SHIPPING AGENCIES (INDIA) PVT LTD.</t>
  </si>
  <si>
    <t>CLL7072</t>
  </si>
  <si>
    <t>No</t>
  </si>
  <si>
    <t>0059NMDC0013527</t>
  </si>
  <si>
    <t>VASJEDNSA084785</t>
  </si>
  <si>
    <t xml:space="preserve">8110044874/ 8110044873/ 8110044878 </t>
  </si>
  <si>
    <t>GRMU2423870</t>
  </si>
  <si>
    <t>PCIU1845548</t>
  </si>
  <si>
    <t>TCKU3727313</t>
  </si>
  <si>
    <t>09505/ 09510/ 09501</t>
  </si>
  <si>
    <t>LLC652235AM27</t>
  </si>
  <si>
    <t>MOSSIMS010426494513</t>
  </si>
  <si>
    <t>9000099005/ 9000099015/ 9000099054</t>
  </si>
  <si>
    <t>CLL6985</t>
  </si>
  <si>
    <t>0059NMDC0001827</t>
  </si>
  <si>
    <t>VASJEDNSA084781</t>
  </si>
  <si>
    <t>SS 316 CLADDING</t>
  </si>
  <si>
    <t>8110044967/ 8110044968/ 8110044969/ 8110044970</t>
  </si>
  <si>
    <t>VMLU3813427</t>
  </si>
  <si>
    <t>DFSU1031062</t>
  </si>
  <si>
    <t>GRMU2407586</t>
  </si>
  <si>
    <t>TCKU3784993</t>
  </si>
  <si>
    <t>Cladded Steel &amp; Stainless 316 12%</t>
  </si>
  <si>
    <t>08089/ 08088/ 1294155/ 1294123</t>
  </si>
  <si>
    <t>PSICMSXXXX650972AM26</t>
  </si>
  <si>
    <t>MOSSIMS010426494512</t>
  </si>
  <si>
    <t>9000098997/ 9000098998/ 9000098999/ 9000099000</t>
  </si>
  <si>
    <t>CLL6979</t>
  </si>
  <si>
    <t>0059NMDC0002627</t>
  </si>
  <si>
    <t>MAXJDE00252627</t>
  </si>
  <si>
    <t>1) STAINLESS STEEL MELTING SCRAP GRADE CD4MCU
2)STAINLESS STEEL SCRAP (316 PLATE ) FOR MELTING PURPOSE</t>
  </si>
  <si>
    <t>1) SS CD4MCU
2) SS 316 PLATE</t>
  </si>
  <si>
    <t>Stainless Steel Scrap 316 Plate
NI - 10%- 14% CR - 16% - 18% MO - 2% - 3% FE - BALANCE
Stainless Steel Scrap CD4MCU
Cr: 24.0 – 26.0%  Ni: 4.9 – 6.0% Mo: 1.7 – 2.3% Cu: 2.7 – 3.3% Fe: Balance</t>
  </si>
  <si>
    <t>BSIU3385407</t>
  </si>
  <si>
    <t>CD4MCU &amp; SS 316</t>
  </si>
  <si>
    <t>09611</t>
  </si>
  <si>
    <t>SAFEEN PROSPER/ 0020 E</t>
  </si>
  <si>
    <t>LLC662234AM27</t>
  </si>
  <si>
    <t>MOSSIMS230426521630</t>
  </si>
  <si>
    <t>MAXICON SHIPPING AGENCIES</t>
  </si>
  <si>
    <t>CLL7047</t>
  </si>
  <si>
    <t xml:space="preserve"> </t>
  </si>
  <si>
    <t>0059NMDC0008427</t>
  </si>
  <si>
    <t>STAINLESS STEEL SCRAP FOR MELTING PURPOSE</t>
  </si>
  <si>
    <t>CUPRO/NICKEL 90/10 CLADDING (2 % CONTENT )</t>
  </si>
  <si>
    <t>Cu - 2% - 4% CR - 0% - 1% Ni - 0% - 1% Mo - 0% - 1% Fe - BALANCE</t>
  </si>
  <si>
    <t>TGHU1809131</t>
  </si>
  <si>
    <t>Cladded Steel &amp; Cuni 90/10 2%</t>
  </si>
  <si>
    <t>08215</t>
  </si>
  <si>
    <t>SAFEEN PRIZE/ 099E</t>
  </si>
  <si>
    <t>658992AM27</t>
  </si>
  <si>
    <t>MOSSIMS200426517278</t>
  </si>
  <si>
    <t>MAERSK</t>
  </si>
  <si>
    <t>CLL7049</t>
  </si>
  <si>
    <t>0059NMDC0006927</t>
  </si>
  <si>
    <t>MAXJDE00302627</t>
  </si>
  <si>
    <t>Stainless Steel Scrap for Melting Purpose 316 Loose</t>
  </si>
  <si>
    <t>SS 316 LOOSE</t>
  </si>
  <si>
    <t>NI- 10%-12% CR- 16%-18% MO- 2%-2.5% FE BALANCE</t>
  </si>
  <si>
    <t>FYCU7015025</t>
  </si>
  <si>
    <t>34227</t>
  </si>
  <si>
    <t>LLC661643AM27</t>
  </si>
  <si>
    <t>MOSSIMS230426521616</t>
  </si>
  <si>
    <t>CLL7046</t>
  </si>
  <si>
    <t>0059NMDC0008727</t>
  </si>
  <si>
    <t>MAXJDE00382627</t>
  </si>
  <si>
    <t>MXCU0043571</t>
  </si>
  <si>
    <t>33265</t>
  </si>
  <si>
    <t>MOSSIMS230426521808</t>
  </si>
  <si>
    <t>CLL7048</t>
  </si>
  <si>
    <t>0059NMDC0008827</t>
  </si>
  <si>
    <t>MAXJDE00682627</t>
  </si>
  <si>
    <t>Stainless Steel 316 Plate for Melting Purpose</t>
  </si>
  <si>
    <t xml:space="preserve">SS 316 PLATE </t>
  </si>
  <si>
    <t>NI - 10%- 14%CR - 16% - 18% MO - 2% - 3% FE - BALANCE</t>
  </si>
  <si>
    <t>BSIU8489831</t>
  </si>
  <si>
    <t>40FT</t>
  </si>
  <si>
    <t>34025</t>
  </si>
  <si>
    <t>LLC663778AM27</t>
  </si>
  <si>
    <t>MOSSIMS270426525381</t>
  </si>
  <si>
    <t>CLL7067</t>
  </si>
  <si>
    <t>0059NMDC0008927</t>
  </si>
  <si>
    <t>MAXJDE00862627</t>
  </si>
  <si>
    <t>BSIU8492141</t>
  </si>
  <si>
    <t>33679</t>
  </si>
  <si>
    <t>BARYON/ 091</t>
  </si>
  <si>
    <t>PSICNISLLC670471AM27</t>
  </si>
  <si>
    <t>MOSSIMS130526545094/ MOSSIMS170826650977</t>
  </si>
  <si>
    <t>citylink</t>
  </si>
  <si>
    <t>CLL7103</t>
  </si>
  <si>
    <t>0059NMDC0023527</t>
  </si>
  <si>
    <t>Cha Invoice Pending</t>
  </si>
  <si>
    <t>MAXJDE00852627</t>
  </si>
  <si>
    <t>8110045327/ 8110045326</t>
  </si>
  <si>
    <t>BSIU8506008</t>
  </si>
  <si>
    <t>BEAU4566797</t>
  </si>
  <si>
    <t>PSICNISLLC670554AM27</t>
  </si>
  <si>
    <t>MOSSIMS130526545106</t>
  </si>
  <si>
    <t>9000101811/ 9000101812</t>
  </si>
  <si>
    <t>CLL7102</t>
  </si>
  <si>
    <t>0059NMDC0014527</t>
  </si>
  <si>
    <t>MAXJDE00392627</t>
  </si>
  <si>
    <t>WASTE &amp; SCRAP CU NI CLADDING 11%-12%</t>
  </si>
  <si>
    <t>CU/NI 90/10 CLADDING (11-12% CONTENT)</t>
  </si>
  <si>
    <t>Cr- 10% - 14% Ni- 1% - 2% Fe- Balance</t>
  </si>
  <si>
    <t>BSIU3327078</t>
  </si>
  <si>
    <t>34186</t>
  </si>
  <si>
    <t>LLC664010AM27</t>
  </si>
  <si>
    <t>MOSSIMS280426526818</t>
  </si>
  <si>
    <t>CLL7068</t>
  </si>
  <si>
    <t>6242NMDC0003927</t>
  </si>
  <si>
    <t>MAXJDE00432627</t>
  </si>
  <si>
    <t>FYCU7216056</t>
  </si>
  <si>
    <t>34133</t>
  </si>
  <si>
    <t>LLC664013AM27</t>
  </si>
  <si>
    <t>MOSSIMS280426526829</t>
  </si>
  <si>
    <t>CLL7069</t>
  </si>
  <si>
    <t>6242NMDC0004027</t>
  </si>
  <si>
    <t>26-27</t>
  </si>
  <si>
    <t>TALGMJ03087564</t>
  </si>
  <si>
    <t>STAINLESS STEEL SCRAP(ZORBA SCRAP MIX MATERIAL)</t>
  </si>
  <si>
    <t>ZORBA</t>
  </si>
  <si>
    <t>CR- 17%-19% NI- 6%-8% CU- 4%-5% AL- 4%-5% FE- BALANCE</t>
  </si>
  <si>
    <t>TLXU5403316</t>
  </si>
  <si>
    <t>(Deductions:40Jumbo Bags@2 Kg=80Kg)</t>
  </si>
  <si>
    <t>01265</t>
  </si>
  <si>
    <t>X-PRESS ALTAIR/ 26004E</t>
  </si>
  <si>
    <t>LLC669633AM27</t>
  </si>
  <si>
    <t>MOSSIMS090526540366</t>
  </si>
  <si>
    <t>TRANS ASIA LINE</t>
  </si>
  <si>
    <t>CLL7099</t>
  </si>
  <si>
    <t>6242NMDC0005427</t>
  </si>
  <si>
    <t>MAXJDE00812627</t>
  </si>
  <si>
    <t>STAINLESS STEEL SCRAP GRADE 2205 Duplex FOR MELTING PURPOSE</t>
  </si>
  <si>
    <t>SS 2205 Duplex</t>
  </si>
  <si>
    <t>CR- 22% TO 23% NI- 4.5% TO 6.5% Mo- 3% TO 3.5% FE- BALANCE</t>
  </si>
  <si>
    <t>BSIU3465014</t>
  </si>
  <si>
    <t>2205 Duplex</t>
  </si>
  <si>
    <t>PSICNISLLC671210AM27</t>
  </si>
  <si>
    <t>MOSSIMS130526545114</t>
  </si>
  <si>
    <t>CLL7101</t>
  </si>
  <si>
    <t>0059NMDC0014627</t>
  </si>
  <si>
    <t>TALGMJ03087073</t>
  </si>
  <si>
    <t>STAINLESS STEEL MELTING SCRAP GRADE NI RESISTER-II
SMO 254</t>
  </si>
  <si>
    <t>1) NI RESISTER-II
2) SMO 254</t>
  </si>
  <si>
    <t>STAINLESS STEEL MELTING SCRAP GRADE (NI RESISTER-II)
NI - 18%-22% CR - 1.5%-2.5% FE - BALANCE
STAINLESS STEEL MELTING PURPOSE (SMO 254)
CR-19.5% - 20.5% NI- 17.5%-18.5% MO- 6%-6.5% FE- Balance</t>
  </si>
  <si>
    <t>TLXU2501767</t>
  </si>
  <si>
    <t>X-PRESS KABRU / 26004E</t>
  </si>
  <si>
    <t>664865AM27</t>
  </si>
  <si>
    <t>MOSSIMS280426526846</t>
  </si>
  <si>
    <t>CLL7052</t>
  </si>
  <si>
    <t>0059NMDC0008027</t>
  </si>
  <si>
    <t>TALGMJ03087072</t>
  </si>
  <si>
    <t>Nickel Alloys Scrap for Melting Purpose
STAINLESS STEEL MELTING SCRAP</t>
  </si>
  <si>
    <t>1) MONEL400
2) SS 316 SCRAP</t>
  </si>
  <si>
    <t>STAINLESS STEEL MELTING SCRAP
NI - 10%- 14% CR - 16% - 18% MO - 2% - 3% FE - BALANCE
NICKEL ALLOYS SCRAP FOR MELTING PURPOSE
NI-63%-70% CU-28%-34% FE- Balance</t>
  </si>
  <si>
    <t>TLXU2016210</t>
  </si>
  <si>
    <t>MONEL 400 / Alloy-400 (MO) + SS 316</t>
  </si>
  <si>
    <t>664874AM27</t>
  </si>
  <si>
    <t>MOSSIMS280426526855</t>
  </si>
  <si>
    <t>CLL7051</t>
  </si>
  <si>
    <t>0059NMDC0008127</t>
  </si>
  <si>
    <t>MAXJDE00972627</t>
  </si>
  <si>
    <t>WASTE &amp; SCRAP CU NI CLADDING</t>
  </si>
  <si>
    <t>CU/NI 90/10 CLADDING (12-14% CONTENT )</t>
  </si>
  <si>
    <t>8110045352/ 8110045353</t>
  </si>
  <si>
    <t>BSIU2527282</t>
  </si>
  <si>
    <t>HNSU2063070</t>
  </si>
  <si>
    <t>Cladded Steel &amp; Cuni 90/10 10-14%</t>
  </si>
  <si>
    <t>LLC673022AM27</t>
  </si>
  <si>
    <t>MOSSIMS150526547910</t>
  </si>
  <si>
    <t>CLL7104</t>
  </si>
  <si>
    <t>0059NSMI0062226</t>
  </si>
  <si>
    <t>0059NMDC0015827</t>
  </si>
  <si>
    <t>Advance adjusted from old canceled order no. 1620020462</t>
  </si>
  <si>
    <t>MAXJDE00982627</t>
  </si>
  <si>
    <t>8110045351/ 8110045354</t>
  </si>
  <si>
    <t>BSIU2607834</t>
  </si>
  <si>
    <t>NLLU2000459</t>
  </si>
  <si>
    <t>34027/ 34025</t>
  </si>
  <si>
    <t>TEN NEPTUNE 0001</t>
  </si>
  <si>
    <t>PSICMSXXXX674863AM27</t>
  </si>
  <si>
    <t>MOSSIMS200526554576</t>
  </si>
  <si>
    <t>9000101808/ 9000101809</t>
  </si>
  <si>
    <t>SEALINK</t>
  </si>
  <si>
    <t>SEALINK CLEARING FORWARDING PVT LTD</t>
  </si>
  <si>
    <t>0059NMDC0015927</t>
  </si>
  <si>
    <t>TRLJEDNSA13312</t>
  </si>
  <si>
    <t>BEAU4452840</t>
  </si>
  <si>
    <t>(Deductions:39Jumbo Bags@2 Kg=78Kg)</t>
  </si>
  <si>
    <t>01441</t>
  </si>
  <si>
    <t>DP WORLD CHENNAI 007</t>
  </si>
  <si>
    <t>NAGPUR</t>
  </si>
  <si>
    <t>PSICNISLLC671240AM27</t>
  </si>
  <si>
    <t>MOSSIMS130526545117/ MOSSIMS200526554624</t>
  </si>
  <si>
    <t xml:space="preserve">TRANSLINER </t>
  </si>
  <si>
    <t>CLL7100</t>
  </si>
  <si>
    <t>0059NMDC0011027</t>
  </si>
  <si>
    <t>MAXJDE06452526</t>
  </si>
  <si>
    <t>MAXX METAL</t>
  </si>
  <si>
    <t>MAXX METAL RECYCLERS LLP</t>
  </si>
  <si>
    <t xml:space="preserve">STAINLESS STEEL SCRAP(316 Plate) For Melting Purpose </t>
  </si>
  <si>
    <t>SS 316 Plate</t>
  </si>
  <si>
    <t>CR - 16% Min Ni - 10% Min Mo - 2% Approx Fe - BALANCE</t>
  </si>
  <si>
    <t>BSIU8491000</t>
  </si>
  <si>
    <t>09662</t>
  </si>
  <si>
    <t>LOE PEACE/ 011E</t>
  </si>
  <si>
    <t>LLC646685AM26</t>
  </si>
  <si>
    <t>MOSSIMS200426517222</t>
  </si>
  <si>
    <t>CLL7019</t>
  </si>
  <si>
    <t>YES</t>
  </si>
  <si>
    <t>102BC09261170002</t>
  </si>
  <si>
    <t>MAXJDE06462526</t>
  </si>
  <si>
    <t>BSIU8525841</t>
  </si>
  <si>
    <t>09664</t>
  </si>
  <si>
    <t>X PRESS ALTAIR/ 26003E</t>
  </si>
  <si>
    <t>646445AM26</t>
  </si>
  <si>
    <t>MOSSIMS200426517241</t>
  </si>
  <si>
    <t>CLL7018</t>
  </si>
  <si>
    <t>102BC09261180009</t>
  </si>
  <si>
    <t>JCL28656KLFNSA</t>
  </si>
  <si>
    <t>PSC/26/523</t>
  </si>
  <si>
    <t>PLATINUM METALS</t>
  </si>
  <si>
    <t>PLATINUM METALS IND LLC</t>
  </si>
  <si>
    <t>NICKEL ALLOY MELTING SCRAP TURNING</t>
  </si>
  <si>
    <t>INCO 925 TURNING</t>
  </si>
  <si>
    <t>Ni- 42% - 46% Cr- 19.5%-23.5% Mo- 2.5% - 3.5% Fe- Balance</t>
  </si>
  <si>
    <t>LEGU2014921</t>
  </si>
  <si>
    <t>B031531</t>
  </si>
  <si>
    <t>GUO FU MIN QIANG V.08KIE</t>
  </si>
  <si>
    <t>KHOR FAKKAN</t>
  </si>
  <si>
    <t>PSICMSXXXX665174AM27</t>
  </si>
  <si>
    <t>PLATINUM/26/1524</t>
  </si>
  <si>
    <t>JUPITER CONTAINER LINES PTE LTD</t>
  </si>
  <si>
    <t>CLL7059</t>
  </si>
  <si>
    <t>0059NMDC0007027</t>
  </si>
  <si>
    <t>JCL27817KLFNSA</t>
  </si>
  <si>
    <t>PSC/26/524</t>
  </si>
  <si>
    <t>NICKEL ALLOYS MELTING SCRAP 925 TURNING
NICKEL ALLOYS MELTING SCRAP 925 SOLIDS
NICKEL ALLOYS MELTING SCRAP 825 SOLIDS
NICKEL ALLOYS MELTING SCRAP NI-45% CR-35%</t>
  </si>
  <si>
    <t>925 TURNING
925 SOLIDS
825 SOLIDS
NI-45% CR-35% (CUNI)</t>
  </si>
  <si>
    <t>NICKEL ALLOY MELTING SCRAP 925 TURNING
Ni- 42% - 46% Cr- 19.5%-23.5% Mo- 2.5% - 3.5% e- Balance
NICKEL ALLOY MELTING SCRAP 925 SOLID
Ni- 42% - 46% Cr- 19.5%-23.5% Mo- 2.5% - 3.5% Fe- Balance
NICKEL ALLOY MELTING SCRAP 825 TURNING
Ni- 38% - 46% Cr- 19.5%-23.5% Mo- 2.5% - 3.5% Fe- Balance
NICKEL ALLOY MELTING SCRAP NI45%,CR35%
Ni- 45% Cr- 35% Fe- Balance</t>
  </si>
  <si>
    <t>OOLU3278939</t>
  </si>
  <si>
    <t>B031532</t>
  </si>
  <si>
    <t>PSICMSXXXX665178AM27</t>
  </si>
  <si>
    <t>PLATINUM/26/1526</t>
  </si>
  <si>
    <t>CLL7058</t>
  </si>
  <si>
    <t>6242NMDC0004327</t>
  </si>
  <si>
    <t>BAXSSS105184</t>
  </si>
  <si>
    <t>PSC/26/527</t>
  </si>
  <si>
    <t>SS MELTING SCRAP TURNING GRADE 316
SS MELTING SCRAP TURNING GRADE 15-7MO
SS MELTING SCRAP GRADE 2507, Z100
SS MELTING SCRAP GRADE 2205</t>
  </si>
  <si>
    <t>SS 316
SS 15-7 MO
SS 2507, Z100
SS 2205</t>
  </si>
  <si>
    <t>SS MELTING SCRAP TURNING GRADE 316
Ni- 10%-14% Cr- 16%-18% Mo- 2%-3% Fe- Balance
SS MELTING SCRAP TURNING GRADE 15-7MO
Ni- 6.5%-8% Cr- 14%-16% Mo- 2%-3% Fe- Balance
SS MELTING SCRAP GRADE 2507, Z100
Ni- 6%-8% Cr- 24%-26% Mo- 3%-5% Fe- Balance
SS MELTING SCRAP GRADE 2205
Ni- 4.5%-6.5% Cr- 22%-23% Mo- 3%-3.5% Fe- Balance</t>
  </si>
  <si>
    <t>BAXU2627395</t>
  </si>
  <si>
    <t>B031535</t>
  </si>
  <si>
    <t>GFS GISELLE/ 037</t>
  </si>
  <si>
    <t>KHOR AL FAKKAN</t>
  </si>
  <si>
    <t>PSICMSXXXX667232AM27</t>
  </si>
  <si>
    <t>MOSSIMS090526540349</t>
  </si>
  <si>
    <t>PLATINUM/26/1527</t>
  </si>
  <si>
    <t>SUNMARINE SHIPPING SERVICES LLC</t>
  </si>
  <si>
    <t>6242NMDC0004427</t>
  </si>
  <si>
    <t>BAXTFD002925</t>
  </si>
  <si>
    <t>TW/2026/168</t>
  </si>
  <si>
    <t>TRADEWIZE</t>
  </si>
  <si>
    <t>TRADEWIZE FZ-LLC</t>
  </si>
  <si>
    <t>STAINLESS STEEL MELTING SCRAP GRADE 202
ALLOY STEEL MELTING SCRAP</t>
  </si>
  <si>
    <t xml:space="preserve">SS 202
CU NI </t>
  </si>
  <si>
    <t>STAINLESS STEEL MELTING SCRAP GRADE 202
NI : 0.80 % MN 7.00 % CR 15.00 % CU 1.50 % FE : BALANCE %
ALLOY STEEL MELTING SCRAP GRADE HY 80
NI : 3.00 % MO : 0.60 % CR : 1.50 % FE : BALANCE %</t>
  </si>
  <si>
    <t>BAXU2655627</t>
  </si>
  <si>
    <t>X PRESS KARAKORAM/ 26004E</t>
  </si>
  <si>
    <t>Dammam</t>
  </si>
  <si>
    <t>PSICMSXXXX665155AM27</t>
  </si>
  <si>
    <t>MOSSIMS300426529371</t>
  </si>
  <si>
    <t>0059NMDC0011227</t>
  </si>
  <si>
    <t>MAXJDE01542627</t>
  </si>
  <si>
    <t>HEAVY MELTING STEEL SCRAP (STEEL GRADE 316 CLADDING)</t>
  </si>
  <si>
    <t>SS 316 Cladding 10%-14 %</t>
  </si>
  <si>
    <t>MXCU0012117</t>
  </si>
  <si>
    <t>BSIU2922878</t>
  </si>
  <si>
    <t>Cladded Steel &amp; Stainless 316 10-14 %</t>
  </si>
  <si>
    <t>33281/ 33283</t>
  </si>
  <si>
    <t>687025AM27</t>
  </si>
  <si>
    <t>MOSSIMS150626582784</t>
  </si>
  <si>
    <t>9000101269/ 9000101270</t>
  </si>
  <si>
    <t>CLL7210</t>
  </si>
  <si>
    <t>0059NMDC0015427</t>
  </si>
  <si>
    <t>MAXJDE01522627</t>
  </si>
  <si>
    <t>8110045764/ 8110045768</t>
  </si>
  <si>
    <t>MXCU0007620</t>
  </si>
  <si>
    <t>33327/ 33328</t>
  </si>
  <si>
    <t>687058AM27</t>
  </si>
  <si>
    <t>MOSSIMS150626582792</t>
  </si>
  <si>
    <t>9000101621/ 9000101622</t>
  </si>
  <si>
    <t>CLL7211</t>
  </si>
  <si>
    <t>0059NMDC0015527</t>
  </si>
  <si>
    <t>MAXJDE01512627</t>
  </si>
  <si>
    <t>8110045766/ 8110045767</t>
  </si>
  <si>
    <t>TGHU3266120</t>
  </si>
  <si>
    <t>MXCU0041558</t>
  </si>
  <si>
    <t>33325/ 33326</t>
  </si>
  <si>
    <t>687095AM27</t>
  </si>
  <si>
    <t>MOSSIMS150626582801</t>
  </si>
  <si>
    <t>9000101619/ 9000101620</t>
  </si>
  <si>
    <t>CLL7212</t>
  </si>
  <si>
    <t>0059NMDC0015627</t>
  </si>
  <si>
    <t>MAXJDE01502627</t>
  </si>
  <si>
    <t>8110045761/ 8110045762</t>
  </si>
  <si>
    <t>MXCU0061560</t>
  </si>
  <si>
    <t>MXCU0029070</t>
  </si>
  <si>
    <t>33285/ 33289</t>
  </si>
  <si>
    <t>687083AM27</t>
  </si>
  <si>
    <t>MOSSIMS150626582806</t>
  </si>
  <si>
    <t>9000101617/ 9000101618</t>
  </si>
  <si>
    <t>CLL7213</t>
  </si>
  <si>
    <t>0059NMDC0015727</t>
  </si>
  <si>
    <t>MAXJDE01662627</t>
  </si>
  <si>
    <t>8110045797/ 8110045798</t>
  </si>
  <si>
    <t>MXCU0016365</t>
  </si>
  <si>
    <t>BMOU2880674</t>
  </si>
  <si>
    <t>33376/ 33377</t>
  </si>
  <si>
    <t>MYD NINGBO 020E</t>
  </si>
  <si>
    <t>688854AM27</t>
  </si>
  <si>
    <t>MOSSIMS150626582810/ MOSSIMS290826666942/ MOSSIMS290826666812</t>
  </si>
  <si>
    <t>9000103510/ 9000103511</t>
  </si>
  <si>
    <t>0059NMDC0023927</t>
  </si>
  <si>
    <t>MAXJDE01782627</t>
  </si>
  <si>
    <t>8110045765/ 8110045796</t>
  </si>
  <si>
    <t>FYCU7014712</t>
  </si>
  <si>
    <t>MXCU0018671</t>
  </si>
  <si>
    <t>08049/ 33378</t>
  </si>
  <si>
    <t>689809AM27</t>
  </si>
  <si>
    <t>MOSSIMS170626585806</t>
  </si>
  <si>
    <t>9000103512/ 9000103513</t>
  </si>
  <si>
    <t>0059NMDC0024027</t>
  </si>
  <si>
    <t>TALGMJ03090250</t>
  </si>
  <si>
    <t>WASTE &amp; SCRAP (CU NI CLADDING 10%-14%)</t>
  </si>
  <si>
    <t>CU NI CLADDING 10%-14%</t>
  </si>
  <si>
    <t>8110045819/ 8110045820</t>
  </si>
  <si>
    <t>VSBU2084912</t>
  </si>
  <si>
    <t>SEGU1961254</t>
  </si>
  <si>
    <t>CLADDED STEEL &amp; CUNI 90/10 (11 - 14 %REC.)</t>
  </si>
  <si>
    <t>14266/ 14267</t>
  </si>
  <si>
    <t>HE RUN XIANG MAO/ 2408E</t>
  </si>
  <si>
    <t>689975AM27</t>
  </si>
  <si>
    <t>MOSSIMS170626585778</t>
  </si>
  <si>
    <t>9000101131/  9000101132</t>
  </si>
  <si>
    <t>0059NMFC0010127</t>
  </si>
  <si>
    <t>TALGMJ03090251</t>
  </si>
  <si>
    <t>8110045824/ 8110045823</t>
  </si>
  <si>
    <t>BSIU2816330</t>
  </si>
  <si>
    <t>TLXU2025589</t>
  </si>
  <si>
    <t>14265/ 14269</t>
  </si>
  <si>
    <t>690016AM27</t>
  </si>
  <si>
    <t>MOSSIMS170626585786</t>
  </si>
  <si>
    <t>9000101133/ 9000101166</t>
  </si>
  <si>
    <t>At Bank</t>
  </si>
  <si>
    <t>0059NMDC0014227</t>
  </si>
  <si>
    <t>TALGMJ03090253</t>
  </si>
  <si>
    <t>8110045826/ 8110045825</t>
  </si>
  <si>
    <t>TLXU3015456</t>
  </si>
  <si>
    <t>BSIU2901670</t>
  </si>
  <si>
    <t>14404/ 14402</t>
  </si>
  <si>
    <t>690042AM27</t>
  </si>
  <si>
    <t>MOSSIMS170626585792</t>
  </si>
  <si>
    <t>9000101134/ 9000101135</t>
  </si>
  <si>
    <t>0059NMDC0014327</t>
  </si>
  <si>
    <t>TALGMJ03090254</t>
  </si>
  <si>
    <t>8110045821/ 8110045821</t>
  </si>
  <si>
    <t>VSBU2003103</t>
  </si>
  <si>
    <t>TLXU3013860</t>
  </si>
  <si>
    <t>14268/ 14403</t>
  </si>
  <si>
    <t>689671AM27</t>
  </si>
  <si>
    <t>MOSSIMS170626585795</t>
  </si>
  <si>
    <t>9000101136/ 9000101137</t>
  </si>
  <si>
    <t>0059NMDC0015227</t>
  </si>
  <si>
    <t>TALGMJ03090482</t>
  </si>
  <si>
    <t>CAD</t>
  </si>
  <si>
    <t>WASTE &amp; SCRAP (CU NI CLADDING 30%-33%)</t>
  </si>
  <si>
    <t>CU NI CLADDING 30%-33%</t>
  </si>
  <si>
    <t>Cu- 30%-40% Ni- 3%-5% Fe- Balalnce</t>
  </si>
  <si>
    <t>CAXU3150395</t>
  </si>
  <si>
    <t>CLADDED STEEL &amp; CUNI 90/10 (30 to 33% Rec.)</t>
  </si>
  <si>
    <t>HE RUN XIANG MAO / 2408E</t>
  </si>
  <si>
    <t>PSICNISLLC690134AM27</t>
  </si>
  <si>
    <t>MOSSIMS170626585710</t>
  </si>
  <si>
    <t>CLL7208</t>
  </si>
  <si>
    <t>0059NMFC0010027</t>
  </si>
  <si>
    <t>TALGMJ03090252</t>
  </si>
  <si>
    <t>SEGU1964422</t>
  </si>
  <si>
    <t>689721AM27</t>
  </si>
  <si>
    <t>MOSSIMS170626585746</t>
  </si>
  <si>
    <t>CLL7209</t>
  </si>
  <si>
    <t>0059NMDC0014427</t>
  </si>
  <si>
    <t>TALGMJ03090483</t>
  </si>
  <si>
    <t>STAINLESS STEEL FOR MELTING PURPOSE (ZORBA MIX)</t>
  </si>
  <si>
    <t>TLXU2510563</t>
  </si>
  <si>
    <t>01488</t>
  </si>
  <si>
    <t>LLC690916AM27</t>
  </si>
  <si>
    <t>MOSSIMS170626585772</t>
  </si>
  <si>
    <t>MASKATI</t>
  </si>
  <si>
    <t>0059NMDC0018727</t>
  </si>
  <si>
    <t>Active</t>
  </si>
  <si>
    <t>TALGMJ03090785</t>
  </si>
  <si>
    <t>WASTE &amp; SCRAP (CU NI CLADDING 11%-14%)</t>
  </si>
  <si>
    <t>CU NI CLADDING 11%-14%</t>
  </si>
  <si>
    <t>8110045987/ 8110045988</t>
  </si>
  <si>
    <t>TLXU2012046</t>
  </si>
  <si>
    <t>TLXU2024664</t>
  </si>
  <si>
    <t>Cladded Steel &amp; Cuni 90/10 ( 11 - 14% recovery)</t>
  </si>
  <si>
    <t>01460</t>
  </si>
  <si>
    <t>MOSSIMS070726608814</t>
  </si>
  <si>
    <t>In-Transit</t>
  </si>
  <si>
    <t>TALGMJ03090787</t>
  </si>
  <si>
    <t>8110045982/ 8110045983</t>
  </si>
  <si>
    <t>SEGU1962543</t>
  </si>
  <si>
    <t>SEGU1970298</t>
  </si>
  <si>
    <t>Cladded Steel &amp; Cuni 90/10 (11 - 14% Recovery)</t>
  </si>
  <si>
    <t>01473/ 01477</t>
  </si>
  <si>
    <t>AL HDBAA/ 2605E</t>
  </si>
  <si>
    <t>702963AM27</t>
  </si>
  <si>
    <t>MOSSIMS070726608860</t>
  </si>
  <si>
    <t>9000102547/9000102657</t>
  </si>
  <si>
    <t>CLL7282</t>
  </si>
  <si>
    <t>0059NMDC0021227</t>
  </si>
  <si>
    <t>TALGMJ03090779</t>
  </si>
  <si>
    <t>8110045984/ 8110045985</t>
  </si>
  <si>
    <t>SEGU1962728</t>
  </si>
  <si>
    <t>BSIU2907528</t>
  </si>
  <si>
    <t>01457</t>
  </si>
  <si>
    <t>FOLK JUBAIL / FJMY21E</t>
  </si>
  <si>
    <t>702974AM27</t>
  </si>
  <si>
    <t>MOSSIMS070726608875</t>
  </si>
  <si>
    <t>9000102557/ 9000102558</t>
  </si>
  <si>
    <t>0059NMFC0010827</t>
  </si>
  <si>
    <t>TALGMJ03090776</t>
  </si>
  <si>
    <t>8110045981/ 8110045986</t>
  </si>
  <si>
    <t>TLXU2018595</t>
  </si>
  <si>
    <t>CAIU2202980</t>
  </si>
  <si>
    <t>01492</t>
  </si>
  <si>
    <t>707442AM27</t>
  </si>
  <si>
    <t>MOSSIMS070726608877</t>
  </si>
  <si>
    <t>9000102568/ 9000102569</t>
  </si>
  <si>
    <t>CLL7283</t>
  </si>
  <si>
    <t>0059NMDC0021327</t>
  </si>
  <si>
    <t>TALGMJ03090777</t>
  </si>
  <si>
    <t>8110045978/ 8110045980/ 8110045979</t>
  </si>
  <si>
    <t>CAIU3350010</t>
  </si>
  <si>
    <t>TLXU3012816</t>
  </si>
  <si>
    <t>TLXU2019230</t>
  </si>
  <si>
    <t>01498/ 01493/ 01478</t>
  </si>
  <si>
    <t>PSICNISLLC702915AM27</t>
  </si>
  <si>
    <t>MOSSIMS070726608883</t>
  </si>
  <si>
    <t>9000102564/ 9000102565/ 9000102665</t>
  </si>
  <si>
    <t>0059NMFC0010727</t>
  </si>
  <si>
    <t>TALGMJ03090985</t>
  </si>
  <si>
    <t>BSIU2901828</t>
  </si>
  <si>
    <t>Cladded Steel &amp; Cuni 90/10 ( 11 - 14 % Recovery)</t>
  </si>
  <si>
    <t>01413</t>
  </si>
  <si>
    <t>703546AM27</t>
  </si>
  <si>
    <t>MOSSIMS150726618141</t>
  </si>
  <si>
    <t>0059NMDC0016927</t>
  </si>
  <si>
    <t>TALGMJ03090780</t>
  </si>
  <si>
    <t>WASTE &amp; SCRAP (CU NI CLADDING 5%)</t>
  </si>
  <si>
    <t>CU NI CLADDING 05%</t>
  </si>
  <si>
    <t>Cu- 4%-5% Ni- 0.50% Fe- Balance</t>
  </si>
  <si>
    <t>8110045993/ 8110045994</t>
  </si>
  <si>
    <t>SEGU1961402</t>
  </si>
  <si>
    <t>VSBU2030285</t>
  </si>
  <si>
    <t>Cladded Steel &amp; Cuni 90/10 ( 5 % Recovery)</t>
  </si>
  <si>
    <t>01474/ 01475</t>
  </si>
  <si>
    <t>703070AM27</t>
  </si>
  <si>
    <t>MOSSIMS070726608903</t>
  </si>
  <si>
    <t>9000102554/ 9000102555</t>
  </si>
  <si>
    <t>CLL7284</t>
  </si>
  <si>
    <t>0059NMDC0021427</t>
  </si>
  <si>
    <t>TALGMJ03090782</t>
  </si>
  <si>
    <t>DFSU1818720</t>
  </si>
  <si>
    <t>GESU3617454</t>
  </si>
  <si>
    <t>01455/</t>
  </si>
  <si>
    <t>703090AM27</t>
  </si>
  <si>
    <t>MOSSIMS070726608906</t>
  </si>
  <si>
    <t>9000102552/ 9000102553</t>
  </si>
  <si>
    <t>CLL7285</t>
  </si>
  <si>
    <t>0059NMDC0021627</t>
  </si>
  <si>
    <t>TALGMJ03090778</t>
  </si>
  <si>
    <t>8110045990/ 8110045992</t>
  </si>
  <si>
    <t>TLXU2200779</t>
  </si>
  <si>
    <t>TLXU2013309</t>
  </si>
  <si>
    <t>01496/ 01497</t>
  </si>
  <si>
    <t>702916AM27</t>
  </si>
  <si>
    <t>MOSSIMS070726608911</t>
  </si>
  <si>
    <t>9000102562/ 9000102563</t>
  </si>
  <si>
    <t>CLL7286</t>
  </si>
  <si>
    <t>0059NMDC0021727</t>
  </si>
  <si>
    <t>TALGMJ03090784</t>
  </si>
  <si>
    <t>BSIU2860890</t>
  </si>
  <si>
    <t>TLXU3015707</t>
  </si>
  <si>
    <t>MOSSIMS070726608918</t>
  </si>
  <si>
    <t>CLL7287</t>
  </si>
  <si>
    <t>TCLU9904389</t>
  </si>
  <si>
    <t>(Deductions:32Jumbo Bags@2 Kg=64Kg)</t>
  </si>
  <si>
    <t>Maersk EL ALTO/ 629E</t>
  </si>
  <si>
    <t>PSICNISLLC702914AM27</t>
  </si>
  <si>
    <t>MOSSIMS070726608777</t>
  </si>
  <si>
    <t>0059NMDC0020627</t>
  </si>
  <si>
    <t>TALGMJ03090984</t>
  </si>
  <si>
    <t>8110046084/ 8110046085/ 8110046086/ 8110046087</t>
  </si>
  <si>
    <t>TEMU2812420</t>
  </si>
  <si>
    <t>BSIU2914825</t>
  </si>
  <si>
    <t>BSIU2469695</t>
  </si>
  <si>
    <t>TLXU3010032</t>
  </si>
  <si>
    <t>Cladded Steel &amp; Cuni 90/10 (10 - 14% Recovery)</t>
  </si>
  <si>
    <t>01414/ 01415/ 01435/ 01437</t>
  </si>
  <si>
    <t>703552AM27</t>
  </si>
  <si>
    <t>MOSSIMS150726618132</t>
  </si>
  <si>
    <t>9000102170/ 9000102171/ 9000102172/ 9000102173</t>
  </si>
  <si>
    <t>CLL7304</t>
  </si>
  <si>
    <t>0059NMDC0017127</t>
  </si>
  <si>
    <t>TALGMJ03091053</t>
  </si>
  <si>
    <t>8110046088/ 8110046089/ 8110046092/ 8110046093</t>
  </si>
  <si>
    <t>SEGU1962332</t>
  </si>
  <si>
    <t>TEMU3990617</t>
  </si>
  <si>
    <t>TLXU3001088</t>
  </si>
  <si>
    <t>TLXU3008267</t>
  </si>
  <si>
    <t>01420/ 01418/ 01419/ 01417</t>
  </si>
  <si>
    <t>703561AM27</t>
  </si>
  <si>
    <t>MOSSIMS150726618136</t>
  </si>
  <si>
    <t>9000102164/ 9000102165/ 9000102166/ 9000102167</t>
  </si>
  <si>
    <t>CLL7298</t>
  </si>
  <si>
    <t>0059NMDC0017027</t>
  </si>
  <si>
    <t>MAXJDE01962627</t>
  </si>
  <si>
    <t>SS 316 CLADDING 10%-14%</t>
  </si>
  <si>
    <t>8110046090/ 8110046091</t>
  </si>
  <si>
    <t>MXCU0036490</t>
  </si>
  <si>
    <t>BSIU2620137</t>
  </si>
  <si>
    <t>Cladded Steel &amp; Stainless 316 10%-14%</t>
  </si>
  <si>
    <t>33210/ 33206</t>
  </si>
  <si>
    <t>AL HDBAA/ 2605</t>
  </si>
  <si>
    <t>LLC691673AM27</t>
  </si>
  <si>
    <t>MOSSIMS230626591849</t>
  </si>
  <si>
    <t>9000103673/ 9000103674</t>
  </si>
  <si>
    <t>CLL7218</t>
  </si>
  <si>
    <t>0059NMDC0023627</t>
  </si>
  <si>
    <t>TALGMJ03091662</t>
  </si>
  <si>
    <t>RWAU2523144</t>
  </si>
  <si>
    <t>Cladded Steel &amp; Cuni 90/10 ( 30 - 33%)</t>
  </si>
  <si>
    <t>X-PRESS KABRU/26006E</t>
  </si>
  <si>
    <t>MOSSIMS150726618129</t>
  </si>
  <si>
    <t>CLL7288</t>
  </si>
  <si>
    <t>0059NMDC0023027</t>
  </si>
  <si>
    <t>MSKU1800298</t>
  </si>
  <si>
    <t>PSICNISLLC708057AM27</t>
  </si>
  <si>
    <t>MOSSIMS150726618127</t>
  </si>
  <si>
    <t>0059NMDC0020527</t>
  </si>
  <si>
    <t>WASTE &amp; SCRAP (CU NI CLADDING 11%-13%)</t>
  </si>
  <si>
    <t>CU NI CLADDING 11%-13%</t>
  </si>
  <si>
    <t>8110046350/ 8110046353</t>
  </si>
  <si>
    <t>TCKU2295299</t>
  </si>
  <si>
    <t>MRKU8808323</t>
  </si>
  <si>
    <t>Cladded Steel &amp; Cuni 90/10 ( 11 - 14% Rec.)</t>
  </si>
  <si>
    <t>20481/ 20392</t>
  </si>
  <si>
    <t>GFS ROJA/ 0008</t>
  </si>
  <si>
    <t>716838AM27</t>
  </si>
  <si>
    <t>MOSSIMS280726632351</t>
  </si>
  <si>
    <t>9000102777/ 9000102790</t>
  </si>
  <si>
    <t>CLL7349</t>
  </si>
  <si>
    <t>0059NMDC0020327</t>
  </si>
  <si>
    <t>MRKU7624086</t>
  </si>
  <si>
    <t>714848AM27</t>
  </si>
  <si>
    <t>MOSSIMS280726632345</t>
  </si>
  <si>
    <t>0059NMDC0019727</t>
  </si>
  <si>
    <t>MRKU7719638</t>
  </si>
  <si>
    <t>EL BOSQUE / 632E</t>
  </si>
  <si>
    <t>MOSSIMS280726631803</t>
  </si>
  <si>
    <t>CLL7350</t>
  </si>
  <si>
    <t>JEDNSA26160904</t>
  </si>
  <si>
    <t>SEGU3659813</t>
  </si>
  <si>
    <t>Cladded Steel &amp; Cuni 90/1011-13% CLADDING</t>
  </si>
  <si>
    <t>MYD NINGBO 021</t>
  </si>
  <si>
    <t>MOSSIMS260826663832</t>
  </si>
  <si>
    <t>Unifeeder Agencies India PVT. LTD / DP World</t>
  </si>
  <si>
    <t>CLL7331</t>
  </si>
  <si>
    <t>HASU1018280</t>
  </si>
  <si>
    <t>702978AM27</t>
  </si>
  <si>
    <t>MOSSIMS150726618117</t>
  </si>
  <si>
    <t>CLL7290</t>
  </si>
  <si>
    <t>0059NMDC0020127</t>
  </si>
  <si>
    <t>JEDNSA26156505</t>
  </si>
  <si>
    <t>CU NI CLADDING 5%</t>
  </si>
  <si>
    <t>CRSU1472918</t>
  </si>
  <si>
    <t>Cladded Steel &amp; Cuni 90/10 5 % Rec</t>
  </si>
  <si>
    <t>706405AM27</t>
  </si>
  <si>
    <t>MOSSIMS130726615218/ MOSSIMS110926682279</t>
  </si>
  <si>
    <t>CLL7289</t>
  </si>
  <si>
    <t>HASU1164772</t>
  </si>
  <si>
    <t>710587AM27</t>
  </si>
  <si>
    <t>MOSSIMS080826644384</t>
  </si>
  <si>
    <t>CLL7281</t>
  </si>
  <si>
    <t>0059NMDC0020227</t>
  </si>
  <si>
    <t>VASJEDNSA085722</t>
  </si>
  <si>
    <t xml:space="preserve">8110046287/ 8110046288/ </t>
  </si>
  <si>
    <t>VMLU3867911</t>
  </si>
  <si>
    <t>VMLU3859388</t>
  </si>
  <si>
    <t>20438/ 20439</t>
  </si>
  <si>
    <t>X-PRESS KABRU / 26006W</t>
  </si>
  <si>
    <t>PSICNISLLC715185AM27</t>
  </si>
  <si>
    <t>MOSSIMS240726627892/ MOSSIMS100826645667</t>
  </si>
  <si>
    <t>9000102939/ 9000102940</t>
  </si>
  <si>
    <t>CLL7329</t>
  </si>
  <si>
    <t>Container Damage</t>
  </si>
  <si>
    <t>0059NMDC0023127</t>
  </si>
  <si>
    <t>VASJEDNSA085723</t>
  </si>
  <si>
    <t xml:space="preserve"> 8110046285/  8110046286</t>
  </si>
  <si>
    <t>VMLU3862000</t>
  </si>
  <si>
    <t>PCIU1631802</t>
  </si>
  <si>
    <t>20437/ 20406</t>
  </si>
  <si>
    <t>PSICNISLLC715184AM27</t>
  </si>
  <si>
    <t>MOSSIMS240726627941</t>
  </si>
  <si>
    <t>9000102941/ 9000102942</t>
  </si>
  <si>
    <t>0059NMDC0022927</t>
  </si>
  <si>
    <t>JEDNSA26159040</t>
  </si>
  <si>
    <t>LEGU2030671</t>
  </si>
  <si>
    <t xml:space="preserve"> PSICNISLLC715179AM27</t>
  </si>
  <si>
    <t>MOSSIMS280726632338</t>
  </si>
  <si>
    <t>VASJEDNSA085741</t>
  </si>
  <si>
    <t>8110046284/  8110046289/ 8110046290</t>
  </si>
  <si>
    <t>TLLU8325565</t>
  </si>
  <si>
    <t>VMLU3846919</t>
  </si>
  <si>
    <t>20404/ 20440/ 20494</t>
  </si>
  <si>
    <t>X-PRESS KABRU/26006W</t>
  </si>
  <si>
    <t>PSICNISLLC715384AM27</t>
  </si>
  <si>
    <t>MOSSIMS280726632332</t>
  </si>
  <si>
    <t>9000102936/9000102937/9000102938</t>
  </si>
  <si>
    <t>CLL7330</t>
  </si>
  <si>
    <t>0059NMDC0023227</t>
  </si>
  <si>
    <t>JEDNSA26169619</t>
  </si>
  <si>
    <t>BLJU2021459</t>
  </si>
  <si>
    <t>Cladded Steel &amp; Cuni 90/10 5% Loose loading</t>
  </si>
  <si>
    <t>MYD NINGBO 023</t>
  </si>
  <si>
    <t>MOSSIMS140926683564</t>
  </si>
  <si>
    <t>JEDNSA26168883</t>
  </si>
  <si>
    <t>CXDU1143711</t>
  </si>
  <si>
    <t>MYD NINGBO 022</t>
  </si>
  <si>
    <t>MOSSIMS110926682260</t>
  </si>
  <si>
    <t>8110046282/ 8110046283</t>
  </si>
  <si>
    <t>TCLU0714270</t>
  </si>
  <si>
    <t>MRSU0174204</t>
  </si>
  <si>
    <t>Cladded Steel &amp; Cuni 90/10 5% Rec.</t>
  </si>
  <si>
    <t>20403/ 20409</t>
  </si>
  <si>
    <t>ADRIAN MAERSK 635E</t>
  </si>
  <si>
    <t>732683AM27</t>
  </si>
  <si>
    <t>MOSSIMS120926683235</t>
  </si>
  <si>
    <t>9000103818/ 9000103817</t>
  </si>
  <si>
    <t>001BM60262580117</t>
  </si>
  <si>
    <t>STAINLESS STEEL MELTING SCRAP GRADE NI RESISTER-II</t>
  </si>
  <si>
    <t>NI RESISTER-II</t>
  </si>
  <si>
    <t>NI - 18%-22% CR - 1.5%-2.5% FE - BALANCE</t>
  </si>
  <si>
    <t>MRKU2554812</t>
  </si>
  <si>
    <t>LOOSE LOADING</t>
  </si>
  <si>
    <t>04951</t>
  </si>
  <si>
    <t>714298AM27</t>
  </si>
  <si>
    <t>MOSSIMS240726627975</t>
  </si>
  <si>
    <t>Sealink</t>
  </si>
  <si>
    <t>0059NMDC0019827</t>
  </si>
  <si>
    <t>TALGMJ03093055</t>
  </si>
  <si>
    <t>Waste &amp; Scrap (CU NI CLADDING 30%-33%)</t>
  </si>
  <si>
    <t>CAIU3632986</t>
  </si>
  <si>
    <t>Cladded Steel &amp; Cuni 90/10 30-33% rec</t>
  </si>
  <si>
    <t>Waste &amp; Scrap (CU NI CLADDING 11%-13)</t>
  </si>
  <si>
    <t>TALGMJ03093561</t>
  </si>
  <si>
    <t>Stainless Steel Scrap for Melting Purpose (NI RESIST 2)</t>
  </si>
  <si>
    <t>FCIU5693905</t>
  </si>
  <si>
    <t>STAINLESS STEEL SCRAP 2205 DUPLEX</t>
  </si>
  <si>
    <t>SS 2205 DUPLEX</t>
  </si>
  <si>
    <t>TLXU2503076</t>
  </si>
  <si>
    <t>STAINLESS STEEL SCRAP FOR MELTING PURPOSE (GRADE 316)</t>
  </si>
  <si>
    <t xml:space="preserve">SS 316 </t>
  </si>
  <si>
    <t>KCAKLFNSA229105</t>
  </si>
  <si>
    <t>AL Shams</t>
  </si>
  <si>
    <t>AL SHAMS &amp; AL QAMAR</t>
  </si>
  <si>
    <t>STAINLESS STEEL MIX TURNING
STAINLESS STEEL  SCRAP 316 TURNING</t>
  </si>
  <si>
    <t>1) STAINLESS STEEL TURNING
2) STAINLESS STEEL SOLID
3) STAINLESS STEEL  SCRAP 316 TURNING</t>
  </si>
  <si>
    <t>1) STAINLESS STEEL TURNING
NI-5% MO-2% CR-11% FE- Balance
2) STAINLESS STEEL SOLID
NI- 5% MO- 2% CR- 11% FE- Balance
3) STAINLESS STEEL  SCRAP 316 TURNING
NI- 10%-14% MO- 2%-3% CR- 16%-18% FE- Balance</t>
  </si>
  <si>
    <t>KCSU2166280</t>
  </si>
  <si>
    <t>AN YANG/ 16KIE</t>
  </si>
  <si>
    <t>686303AM27</t>
  </si>
  <si>
    <t>MOSSIMS170626585833</t>
  </si>
  <si>
    <t>06/2026</t>
  </si>
  <si>
    <t>E-SHIP GLOBAL LOGISTICS</t>
  </si>
  <si>
    <t>sealink</t>
  </si>
  <si>
    <t>0059NMDC0013927</t>
  </si>
  <si>
    <t>BAXBAH105477</t>
  </si>
  <si>
    <t>AD-2026-119</t>
  </si>
  <si>
    <t>AS Corp</t>
  </si>
  <si>
    <t>AS CROP</t>
  </si>
  <si>
    <t>NICKEL ALLOY MELTING SCRAP (MIX GRADE)
STAINLESS STEEL SCRAP FOR MELTING PURPOSE (MIX GRADE)</t>
  </si>
  <si>
    <t>1) 925 TURNING
2) Niresist-5
3) SMO254
4) ZERON 100
5) 316 TURNING
6) 15-7 MO Turning</t>
  </si>
  <si>
    <t>1) 925 TURNING NI - 42%-46% CR- 19.5%-22.5% MO- 2.5%-3.5% FE- BAL
2) Niresist-5 NI- 34%-36% CR- 0%-0.50% FE- BAL
3) SMO254 NI- 17.5%-18.5% CR-19.5%-20.5% MO-6%-6.5% FE- BAL
4) ZERON 100 NI- 6%-8% CR- 24%-26% MO- 3%-4% FE- BAL 
5) 316 TURNING NI- 10%-14% CR- 2%-3% MO- 16%-18% FE- BAL
6) 15-7 MO Turning NI- 6.5%-8% CR- 2%-3% MO-14%-16%</t>
  </si>
  <si>
    <t>BAXU2683948</t>
  </si>
  <si>
    <t>AL RUMELLA/ 2615W</t>
  </si>
  <si>
    <t>BAHRAIN</t>
  </si>
  <si>
    <t>PSICSMVIIX697782AM27</t>
  </si>
  <si>
    <t>MOSSIMS010726601860</t>
  </si>
  <si>
    <t>AD/0626-011</t>
  </si>
  <si>
    <t>FREIGT CONNECTION INDIA PVT LTD</t>
  </si>
  <si>
    <t>0059NMDC0016327</t>
  </si>
  <si>
    <t>MEDUK8086184</t>
  </si>
  <si>
    <t>CXTCL-1513/2026</t>
  </si>
  <si>
    <t>CHUANG XIN</t>
  </si>
  <si>
    <t>CHUANG XIN TRADING COMPANY LTD</t>
  </si>
  <si>
    <t>ALLOY STEEL SCRAP</t>
  </si>
  <si>
    <t>NI - 1%-2% CR- 13%-18% MO- 1%-2% FE- BAL</t>
  </si>
  <si>
    <t>MSNU2065886</t>
  </si>
  <si>
    <t>EU30884768</t>
  </si>
  <si>
    <t>MSC MARIE LESLIE/ IS626R</t>
  </si>
  <si>
    <t>Derince</t>
  </si>
  <si>
    <t>PSICNMIXXX697028AM27</t>
  </si>
  <si>
    <t>MOSSIMS010826636369</t>
  </si>
  <si>
    <t>CXTCL - 1513</t>
  </si>
  <si>
    <t>MSC AGENCY (INDIA) PVT. LTD.</t>
  </si>
  <si>
    <t>CLL7364</t>
  </si>
  <si>
    <t>0059NMDC0020927</t>
  </si>
  <si>
    <t>TALGMJ03090508</t>
  </si>
  <si>
    <t>maxx metal</t>
  </si>
  <si>
    <t>STAINLESS STEEL SCRAP 316 GRADE FOR MELTING PURPOSE</t>
  </si>
  <si>
    <t>SS 316</t>
  </si>
  <si>
    <t>SEGU1972480</t>
  </si>
  <si>
    <t>04698</t>
  </si>
  <si>
    <t>PSICNISLLC689761AM27</t>
  </si>
  <si>
    <t>MOSSIMS170626585826</t>
  </si>
  <si>
    <t>28/07/2026</t>
  </si>
  <si>
    <t>CLL7215</t>
  </si>
  <si>
    <t>102BC09262090002</t>
  </si>
  <si>
    <t>TALGMJ03090675</t>
  </si>
  <si>
    <t>TLXU3013941</t>
  </si>
  <si>
    <t>2 JUMBO * 4 - 8 KG</t>
  </si>
  <si>
    <t>04690</t>
  </si>
  <si>
    <t>AL HADBAA/ 2605E</t>
  </si>
  <si>
    <t>LLC692983AM27</t>
  </si>
  <si>
    <t>MOSSIMS230626591885/ MOSSIMS190826654155</t>
  </si>
  <si>
    <t>CLL7242</t>
  </si>
  <si>
    <t>102BC09262330007</t>
  </si>
  <si>
    <t>TALGMJ03093502</t>
  </si>
  <si>
    <t>FCIU2703548</t>
  </si>
  <si>
    <t>JEDNSA26141003</t>
  </si>
  <si>
    <t>DPWU9007477</t>
  </si>
  <si>
    <t>B414197</t>
  </si>
  <si>
    <t>X-PRESS KABRU 26005E</t>
  </si>
  <si>
    <t>MOSSIMS230626591885</t>
  </si>
  <si>
    <t>CLL7219</t>
  </si>
  <si>
    <t>102BC09261820003</t>
  </si>
  <si>
    <t>MCB0344316</t>
  </si>
  <si>
    <t>Stainless Steel Scrap For Melting Purpose (Grade 347)</t>
  </si>
  <si>
    <t>SS 347</t>
  </si>
  <si>
    <t>CR- 17%-19% NI- 9%-13% FE- BALANCE</t>
  </si>
  <si>
    <t>FCIU7316135</t>
  </si>
  <si>
    <t>CMA CGM PELLEAS/ 0MXJ3E1MA</t>
  </si>
  <si>
    <t>696350AM27</t>
  </si>
  <si>
    <t>MOSSIMS300626600480</t>
  </si>
  <si>
    <t>CMA CGM Saudi Arabia Ltd</t>
  </si>
  <si>
    <t>CLL7244</t>
  </si>
  <si>
    <t>DO CHARGES PENDING</t>
  </si>
  <si>
    <t>TALGMJ03090674</t>
  </si>
  <si>
    <t>Alloy Steel Scrap With Copper Nickel Cladding</t>
  </si>
  <si>
    <t>Cu- 4%-6% Ni- 0.50%-1% Fe- Balance</t>
  </si>
  <si>
    <t>BSIU2863754</t>
  </si>
  <si>
    <t>Cladded Steel &amp; Cuni 90/10 ( 5% Recovery)</t>
  </si>
  <si>
    <t>01452</t>
  </si>
  <si>
    <t>PSICNISLLC692939AM27</t>
  </si>
  <si>
    <t>MOSSIMS230626591889</t>
  </si>
  <si>
    <t>CLL7243</t>
  </si>
  <si>
    <t>102BC09262330006</t>
  </si>
  <si>
    <t>VASJEDNSA085706</t>
  </si>
  <si>
    <t>STAINLESS STEEL MELTING SCRAP –201 AS PER ISRI</t>
  </si>
  <si>
    <t>SS 201</t>
  </si>
  <si>
    <t>BMOU2878996</t>
  </si>
  <si>
    <t>2 JUMBO * 2 - 4 KG</t>
  </si>
  <si>
    <t>04796</t>
  </si>
  <si>
    <t>X-PRESS KABRU/ 26006W</t>
  </si>
  <si>
    <t>734291AM27</t>
  </si>
  <si>
    <t>MOSSIMS240726628159/ MOSSIMS300726634746</t>
  </si>
  <si>
    <t>CLL7332</t>
  </si>
  <si>
    <t>102BC09262510007</t>
  </si>
  <si>
    <t>DAMCB26000851</t>
  </si>
  <si>
    <t>STAINLESS STEEL MELTING SCRAP ZERON 100</t>
  </si>
  <si>
    <t>ZERON 100</t>
  </si>
  <si>
    <t>NI- 6%-8% CR- 24%-26% MO- 3%-4% FE- BAL</t>
  </si>
  <si>
    <t>REGU5249801</t>
  </si>
  <si>
    <t>ZERON 100 Loose loading</t>
  </si>
  <si>
    <t>TB LINHAI 0015</t>
  </si>
  <si>
    <t>STAINLESS STEEL SCRAP GRADE 2205 FOR MELTING  PURPOSE</t>
  </si>
  <si>
    <t>SS 2205</t>
  </si>
  <si>
    <t>MSKU3852515</t>
  </si>
  <si>
    <t>714869AM27</t>
  </si>
  <si>
    <t>MOSSIMS280726632323</t>
  </si>
  <si>
    <t>CITYLINK</t>
  </si>
  <si>
    <t>CLL7363</t>
  </si>
  <si>
    <t>102BC09262240004</t>
  </si>
  <si>
    <t>NAM8517154</t>
  </si>
  <si>
    <t>METREC</t>
  </si>
  <si>
    <t>METREC RECYCLING PVT LTD</t>
  </si>
  <si>
    <t>HIGH SPEED STEEL GRINDING DUST SCRAP (HSS ARRIEB) FOR REMELTING</t>
  </si>
  <si>
    <t>DUST SCRAP</t>
  </si>
  <si>
    <t>W 5.50-5.70 1.00 Mo 4.50 - 5.50 1.00 V 1.65 – 1.95 0.50 Cr .20-3.50 0.10 Fe 80.50-82.50 1.50</t>
  </si>
  <si>
    <t>FCIU5676472</t>
  </si>
  <si>
    <t>0028109</t>
  </si>
  <si>
    <t>CMA CGM GANGES/ 0INMCE1MA</t>
  </si>
  <si>
    <t>CHARLESTON</t>
  </si>
  <si>
    <t>ICD KHODIYAR</t>
  </si>
  <si>
    <t>692628AM27</t>
  </si>
  <si>
    <t>MOSSIMS230626591879</t>
  </si>
  <si>
    <t>2026-15</t>
  </si>
  <si>
    <t>GURU PRAKASH</t>
  </si>
  <si>
    <t xml:space="preserve"> Rate at the time of final payment</t>
  </si>
  <si>
    <t>TALGMJ03091040</t>
  </si>
  <si>
    <t>SC-NG-26288</t>
  </si>
  <si>
    <t>NIRVAIR GLOBAL</t>
  </si>
  <si>
    <t>NIRVAIR GLOBAL (FZC)</t>
  </si>
  <si>
    <t>STAINLESS STEEL MELTING SCRAP GRADE 316</t>
  </si>
  <si>
    <t>TLXU2511678</t>
  </si>
  <si>
    <t>700478AM27</t>
  </si>
  <si>
    <t>MOSSIMS080726610149/ MOSSIMS070726608922</t>
  </si>
  <si>
    <t>EXP-NG-26500</t>
  </si>
  <si>
    <t>95.695/96.26</t>
  </si>
  <si>
    <t>0059NMDC0018827</t>
  </si>
  <si>
    <t>TALGMJ03091574</t>
  </si>
  <si>
    <t>TLXU2511385</t>
  </si>
  <si>
    <t>AL HADBAA / 2605E</t>
  </si>
  <si>
    <t>MOSSIMS300726634788</t>
  </si>
  <si>
    <t>EXP-NG-26520</t>
  </si>
  <si>
    <t>TALGMJ03091646</t>
  </si>
  <si>
    <t>SC-NG-26291</t>
  </si>
  <si>
    <t>1) STAINLESS STEEL MELTING SCRAP GRADE 309
2) STAINLESS STEEL MELTING SCRAP NITRONIC</t>
  </si>
  <si>
    <t>1) SS 309
2) SS NITRONIC</t>
  </si>
  <si>
    <t xml:space="preserve">1) SS 309
2) SS NITRONIC
</t>
  </si>
  <si>
    <t>CAIU2000676</t>
  </si>
  <si>
    <t>SSL BRAHMAPUTRA/ 937E</t>
  </si>
  <si>
    <t>712447AM27</t>
  </si>
  <si>
    <t>MOSSIMS170726620085</t>
  </si>
  <si>
    <t>EXP-NG-26508</t>
  </si>
  <si>
    <t>CLL7328</t>
  </si>
  <si>
    <t>final payment rate pending</t>
  </si>
  <si>
    <t>BAXSSS105303</t>
  </si>
  <si>
    <t>PSC/26/536</t>
  </si>
  <si>
    <t>PLATINUM</t>
  </si>
  <si>
    <t>1) NICKEL ALLOY MELTING SCRAP
2) STAINLESS STEEL SCRAP FOR MELTING PURPOSE</t>
  </si>
  <si>
    <t>1) Niresist-5
2) Alloy 800
3) Alloy 330
4) NI-45% Cr-35%
5) SS Grade 310</t>
  </si>
  <si>
    <t>1) Niresist-5  NI- 34%-36% CR- 0%-0.50% FE-BAL
2) Alloy 800 NI- 30%-35%% CR- 19%-23% FE-BAL
3) Alloy 330 NI- 34%-37% CR- 17%-20% FE-BAL
4) NI-45% Cr-35% NI- 44%-48% CR- 33%-37% FE-BAL
5) SS Grade 310 NI- 19%-22% CR- 24%-26% FE-BAL</t>
  </si>
  <si>
    <t>CXNU2444936</t>
  </si>
  <si>
    <t>B031548</t>
  </si>
  <si>
    <t>GUO FU MIN QIANG/ 12KIE</t>
  </si>
  <si>
    <t>PSICMSXXXX677891AM27</t>
  </si>
  <si>
    <t>MOSSIMS230526557694</t>
  </si>
  <si>
    <t>PLATINUM/26/1541</t>
  </si>
  <si>
    <t>0059NMFC0007027</t>
  </si>
  <si>
    <t>MSI</t>
  </si>
  <si>
    <t>HLCUBSC260422810</t>
  </si>
  <si>
    <t>HLBU1380949</t>
  </si>
  <si>
    <t>0028101</t>
  </si>
  <si>
    <t>TOLTEN/ 6211</t>
  </si>
  <si>
    <t>ICD AHMEDABAD</t>
  </si>
  <si>
    <t>PSICMELXXX670833AM27</t>
  </si>
  <si>
    <t>MOSSIMS020626568224</t>
  </si>
  <si>
    <t>HSS/02/2026-27</t>
  </si>
  <si>
    <t>HAPAG-LLOYD (AMERICA) LLC</t>
  </si>
  <si>
    <t>MEDUAAE43845</t>
  </si>
  <si>
    <t>VMH-2026-15</t>
  </si>
  <si>
    <t>1) HIGH SPEED STEEL GRINDING DUST (HSS ARRIEB) 
2) ALLOY STEEL SCRAP SOLID &amp; TURNING SCRAP (M52 GRADE)</t>
  </si>
  <si>
    <t xml:space="preserve">1) DUST SCRAP
2) SOLID SCRAP (M52 GRADE)
3) TURNING SCRAP (M52 GRADE)
</t>
  </si>
  <si>
    <t xml:space="preserve">1) DUST SCRAP W 5.50-5.70 1.00 MO 4.50 - 5.50 1.00 V 1.65 – 1.95 0.50 Cr .20-3.50 0.10 Fe 80.50-82.50 1.50
2) SOLID &amp; TURNING SCRAP (M52 GRADE) MO-4%, W-1%, CR-4, FE Balance
</t>
  </si>
  <si>
    <t>MSDU8061980</t>
  </si>
  <si>
    <t>0160588</t>
  </si>
  <si>
    <t>MSC CHIARA X - GU631E</t>
  </si>
  <si>
    <t>NEW YORK</t>
  </si>
  <si>
    <t>2415 2089 0951 3700 000</t>
  </si>
  <si>
    <t>PSICGMIXXX721090AM27</t>
  </si>
  <si>
    <t>MOSSIMS280726632297</t>
  </si>
  <si>
    <t>2026-24</t>
  </si>
  <si>
    <t>MEDITERRANEAN SHIPPING COMPANY</t>
  </si>
  <si>
    <t>HLCUBSC2603BVDB6</t>
  </si>
  <si>
    <t>1) HIGH SPEED STEEL GRINDING DUST SCRAP (HSS ARRIEB) FOR REMELTING
2) HIGH SPEED STEEL GRINDING DUST SCRAP (HSS ARRIEB) FOR REMELTING M52</t>
  </si>
  <si>
    <t>DUST SCRAP
DUST SCRAP M52</t>
  </si>
  <si>
    <t>CAAU6802980</t>
  </si>
  <si>
    <t>0160582</t>
  </si>
  <si>
    <t>PSICMELXXX670915AM27</t>
  </si>
  <si>
    <t>MOSSIMS020626568248</t>
  </si>
  <si>
    <t>HSS/01/2026-27</t>
  </si>
  <si>
    <t>TALGMJ03090484</t>
  </si>
  <si>
    <t>Waste &amp; Scrap as per ISRI</t>
  </si>
  <si>
    <t>CAIU2274023</t>
  </si>
  <si>
    <t>Cladded Steel &amp; Cuni 90/10 ( 5% Rec.)</t>
  </si>
  <si>
    <t>689988AM27</t>
  </si>
  <si>
    <t>MOSSIMS170626585812</t>
  </si>
  <si>
    <t>0059NMDC0015327</t>
  </si>
  <si>
    <t>TALGMJ03093570</t>
  </si>
  <si>
    <t>TLXU3003687</t>
  </si>
  <si>
    <t xml:space="preserve">TALGMJ03093048 </t>
  </si>
  <si>
    <t>Stainless Steel for Melting Purpose (Reformer Tube)
Stainless Steel for Melting Purpose (Reformer Tube)
Stainless Steel for Melting Purpose (Reformer Tube)</t>
  </si>
  <si>
    <t>SS Reformer Tubes 35%
SS Reformer Tubes 31%
SS Reformer Tubes 45%</t>
  </si>
  <si>
    <t>TLXU3009936</t>
  </si>
  <si>
    <t>STAINLESS STEEL MELTING SCRAP GRADE CD4MCU</t>
  </si>
  <si>
    <t>SS CD4MCU</t>
  </si>
  <si>
    <t>Cr: 24.0 – 26.0%  Ni: 4.9 – 6.0% Mo: 1.7 – 2.3% Cu: 2.7 – 3.3% Fe: Balance</t>
  </si>
  <si>
    <t>TLXU2204373</t>
  </si>
  <si>
    <t>JEDNSA26160902</t>
  </si>
  <si>
    <t>Stainless Steel Scrap 309 Grade for Melting Purpose
Stainless Steel Scrap 316 Grade for Melting Purpose
Stainless Steel Scrap 2304 Grade for Melting Purpose</t>
  </si>
  <si>
    <t>SS 309
SS 316
SS 2304</t>
  </si>
  <si>
    <t>NHAVA SHEVA</t>
  </si>
  <si>
    <t>736109AM27</t>
  </si>
  <si>
    <t>MOSSIMS140926683626</t>
  </si>
  <si>
    <t>30-08-2026</t>
  </si>
  <si>
    <t>CLL7492</t>
  </si>
  <si>
    <t>yes</t>
  </si>
  <si>
    <t>1) STAINLESS STEEL MELTING SCRAP GRADE NI RESIST 2
2) Stainless Steel Scrap CD4MCU</t>
  </si>
  <si>
    <t>SS NI Resister II
SS CD4MCU</t>
  </si>
  <si>
    <t>1) NI Resister II NI - 18%-22% CR - 1.5%-2.5% FE - BALANCE
2) CD4MCU Cr: 24.0 – 26.0%  Ni: 4.9 – 6.0% Mo: 1.7 – 2.3% Cu: 2.7 – 3.3% Fe: Balance</t>
  </si>
  <si>
    <t>SNKO040260700794</t>
  </si>
  <si>
    <t>094/JSN/JULY/26</t>
  </si>
  <si>
    <t>JSN</t>
  </si>
  <si>
    <t>JSN RECYCLING LLP</t>
  </si>
  <si>
    <t>SS SCRAP GRADE 400 SERIES MIX</t>
  </si>
  <si>
    <t>SS 400 MIX SERIES</t>
  </si>
  <si>
    <t>SKLU0520452</t>
  </si>
  <si>
    <t>ATLANTIC SOUTH 2631W</t>
  </si>
  <si>
    <t>JAPAN</t>
  </si>
  <si>
    <t>PSICNISLXX718716AM27</t>
  </si>
  <si>
    <t>MOSSIMS310826668430</t>
  </si>
  <si>
    <t>KW/JSN/004</t>
  </si>
  <si>
    <t>SINOKOR MERCHANT MARINE CO.LTD</t>
  </si>
  <si>
    <t>AEL2066602</t>
  </si>
  <si>
    <t>BSG-045-2026-07-15</t>
  </si>
  <si>
    <t>BSG</t>
  </si>
  <si>
    <t>BSG Metal Recyclers Pty Ltd</t>
  </si>
  <si>
    <t>STAINLESS STEEL SCRAP GRADE 446 FOR MELTING PURPOSE</t>
  </si>
  <si>
    <t>SS 446</t>
  </si>
  <si>
    <t>CMAU7505920</t>
  </si>
  <si>
    <t>MAGU5741042</t>
  </si>
  <si>
    <t>BMOU5101870</t>
  </si>
  <si>
    <t>C7641230/ C7641172/ C7358688</t>
  </si>
  <si>
    <t>CONTI CRYSTAL/ 630N</t>
  </si>
  <si>
    <t>Fremantle</t>
  </si>
  <si>
    <t>PSICGMIXXX720720AM27</t>
  </si>
  <si>
    <t>MOSSIMS310826667515</t>
  </si>
  <si>
    <t>BSG-053-2026-08-12</t>
  </si>
  <si>
    <t>001BM60262580113</t>
  </si>
  <si>
    <t>BAXBAH105636</t>
  </si>
  <si>
    <t xml:space="preserve">1) NICKEL ALLOY MELTING SCRAP 
2) STAINLESS STEEL SCRAP FOR MELTING
PURPOSE (MIX GRADE) </t>
  </si>
  <si>
    <t>1) 925 TURNING
2) 15-7 MO TURNING
3)  SS 316 TURNING
4) ZERON 100 TURNING
5) SS 2205 SOLID
6) SS 2507/ ZERON -100 SOLID
7) AL 6X WIRE</t>
  </si>
  <si>
    <t>1) 925 TURNING NI - 42%-46% MO - 2.5%-3.5% CR - 19.5%-22.5% FE - BAL
2) 15-7 MO TURNING NI - 6.5%-8% MO - 2%-3% CR - 14%-16% FE - BAL
3)  SS 316 TURNING NI - 10%-14% MO - 2%-3% CR - 16%-18% FE - BAL
4) ZERON 100 TURNING NI - 6%-8% MO - 3%-5% CR - 24%-26% FE - BAL
5) SS 2205 SOLID NI - 4.5%-6.5% MO - 3%-3.5% CR - 22%-23% FE - BAL
6) SS 2507/ ZERON -100 SOLID NI - 6%-8% MO - 3%-5% CR - 24%-26% FE - BAL
7) AL 6X WIRE NI - 23.5%-25.5% MO -  6%-7% CR - 20%-22% FE - BAL</t>
  </si>
  <si>
    <t>BAXU2604419</t>
  </si>
  <si>
    <t>AL RUMEILA / 2617W</t>
  </si>
  <si>
    <t>PSICMSXXXX710875AM27</t>
  </si>
  <si>
    <t>MOSSIMS280726632329</t>
  </si>
  <si>
    <t>AD/0726-018</t>
  </si>
  <si>
    <t>0059NMDC0019927</t>
  </si>
  <si>
    <t>BAHASRNSA304044</t>
  </si>
  <si>
    <t xml:space="preserve">NICKEL ALLOY MELTING SCRAP </t>
  </si>
  <si>
    <t>1) 925 TURNING
2) ALLOY 738
3)COBALT MIX TURNING</t>
  </si>
  <si>
    <t>1) 925 TURNING NI - 42%-46% CR- 19.5%-22.5% MO- 2.5%-3.5% FE- BAL
2) ALLOY 738 NI - 60%-65% CR- 16%-18% MO- 1%-2% CO- 8%-10% FE- BAL
3)COBALT MIX TURNING NI - 57%-60% CR- 13%-15% MO- 6%-8% CO- 9%-10% FE- BAL</t>
  </si>
  <si>
    <t>TGHU3521226</t>
  </si>
  <si>
    <t>AL RUMELIA/ V.2020E</t>
  </si>
  <si>
    <t>PSICMSXXXX713639AM27</t>
  </si>
  <si>
    <t>AD/0726-023</t>
  </si>
  <si>
    <t>ASR INDIA</t>
  </si>
  <si>
    <t>CLL7377</t>
  </si>
  <si>
    <t>0059NMDC0020727</t>
  </si>
  <si>
    <t>Stainless Steel for Melting Purpose (Zorba Mix)</t>
  </si>
  <si>
    <t>8110046888/ 8110046890</t>
  </si>
  <si>
    <t>MRSU4270016</t>
  </si>
  <si>
    <t>TCLU5371743</t>
  </si>
  <si>
    <t>Zorba JUMBO BAGS India (Deductions:27Jumbo Bags@2 Kg=54Kg)</t>
  </si>
  <si>
    <t>SAFEEN PRISM 049E</t>
  </si>
  <si>
    <t>MOSSIMS020926670652</t>
  </si>
  <si>
    <t>Unpaid</t>
  </si>
  <si>
    <t>001BM60262580111</t>
  </si>
  <si>
    <t>731129AM27</t>
  </si>
  <si>
    <t>MOSSIMS020926670660</t>
  </si>
  <si>
    <t>001BM60262580115</t>
  </si>
  <si>
    <t>TCLU9284523</t>
  </si>
  <si>
    <t>GFS ROJA  0011</t>
  </si>
  <si>
    <t>Nickel Alloys Scrap for Melting Purpose (REFORMER TUBE)</t>
  </si>
  <si>
    <t>Reformer Tubes 44%</t>
  </si>
  <si>
    <t>NI- 40%-46% CR- 30%-25% FE BALANCE</t>
  </si>
  <si>
    <t>ASLASWKNSA1372A</t>
  </si>
  <si>
    <t>ASCORP</t>
  </si>
  <si>
    <t>ASCORP FZCO</t>
  </si>
  <si>
    <t>MEDU1556759</t>
  </si>
  <si>
    <t>AL RUMEILA-2620W</t>
  </si>
  <si>
    <t>KUWAIT</t>
  </si>
  <si>
    <t>PSICMSXXXX725345AM27</t>
  </si>
  <si>
    <t>MOSSIMS070926675734</t>
  </si>
  <si>
    <t>AD0826024</t>
  </si>
  <si>
    <t>ASIATIC CONTAINER LINE</t>
  </si>
  <si>
    <t>CITY LINK LOGISTIC</t>
  </si>
  <si>
    <t>0059NMDC0024927</t>
  </si>
  <si>
    <t>STAINLESS STEEL SCRAP 2304 GRADE FOR MELTING PURPOSE</t>
  </si>
  <si>
    <t>SS 2304</t>
  </si>
  <si>
    <t>Waste &amp; Scrap (Collector Bars Copper 3%)</t>
  </si>
  <si>
    <t>(Collector Bars Copper 3%)</t>
  </si>
  <si>
    <t>NICKEL ALLOY SCRAP FOR MELTING PURPOSE</t>
  </si>
  <si>
    <t>STAINLESS STEEL 304 CLADDING</t>
  </si>
  <si>
    <t>SS 304</t>
  </si>
  <si>
    <t>Citylink</t>
  </si>
  <si>
    <t>Cha Invoice Pending, DEBIT ADVOICE AMT</t>
  </si>
  <si>
    <t>MOSSIMS210926691496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</si>
</sst>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F800]dddd\,\ mmmm\ dd\,\ yyyy"/>
    <numFmt numFmtId="165" formatCode="_ * #,##0.0000_ ;_ * \-#,##0.0000_ ;_ * &quot;-&quot;??_ ;_ @_ 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9"/>
      <color rgb="FF1A2540"/>
      <name val="-Apple-System"/>
      <charset val="1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43" fontId="3" fillId="2" borderId="1" xfId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4" fontId="3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2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43" fontId="0" fillId="0" borderId="0" xfId="1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43" fontId="0" fillId="0" borderId="0" xfId="0" applyNumberFormat="1" applyAlignment="1">
      <alignment horizontal="center" vertical="center"/>
    </xf>
    <xf numFmtId="49" fontId="0" fillId="0" borderId="0" xfId="2" applyNumberFormat="1" applyFont="1" applyFill="1" applyAlignment="1">
      <alignment horizontal="center" vertical="center" wrapText="1"/>
    </xf>
    <xf numFmtId="14" fontId="0" fillId="0" borderId="0" xfId="1" applyNumberFormat="1" applyFont="1" applyFill="1" applyAlignment="1">
      <alignment horizontal="center" vertical="center"/>
    </xf>
    <xf numFmtId="43" fontId="0" fillId="3" borderId="0" xfId="1" applyFont="1" applyFill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43" fontId="0" fillId="0" borderId="0" xfId="1" applyFont="1" applyAlignment="1">
      <alignment horizontal="left" vertic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 wrapText="1"/>
    </xf>
    <xf numFmtId="165" fontId="0" fillId="0" borderId="0" xfId="1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1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43" fontId="0" fillId="0" borderId="0" xfId="1" applyFont="1" applyFill="1" applyAlignment="1">
      <alignment horizontal="center" vertical="center" indent="1"/>
    </xf>
    <xf numFmtId="43" fontId="0" fillId="0" borderId="0" xfId="1" applyFont="1" applyFill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43" fontId="0" fillId="0" borderId="0" xfId="1" applyFont="1" applyAlignment="1">
      <alignment horizontal="right" vertical="center"/>
    </xf>
    <xf numFmtId="0" fontId="6" fillId="0" borderId="0" xfId="0" applyFont="1" applyAlignment="1">
      <alignment vertical="center" wrapText="1"/>
    </xf>
    <xf numFmtId="0" fontId="0" fillId="0" borderId="0" xfId="1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3" fontId="2" fillId="0" borderId="0" xfId="1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2" fontId="0" fillId="0" borderId="0" xfId="1" applyNumberFormat="1" applyFont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/>
    </xf>
    <xf numFmtId="0" fontId="4" fillId="2" borderId="0" xfId="0" applyFont="1" applyFill="1" applyAlignment="1">
      <alignment horizontal="left" vertical="center" wrapText="1"/>
    </xf>
    <xf numFmtId="43" fontId="4" fillId="2" borderId="0" xfId="1" applyFont="1" applyFill="1" applyAlignment="1">
      <alignment horizontal="left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97E4D-E64B-42C2-AB73-4C180426F403}">
  <dimension ref="A1:CV127"/>
  <sheetViews>
    <sheetView tabSelected="1" workbookViewId="0">
      <pane xSplit="5" ySplit="3" topLeftCell="AJ113" activePane="bottomRight" state="frozen"/>
      <selection pane="topRight" activeCell="F1" sqref="F1"/>
      <selection pane="bottomLeft" activeCell="A4" sqref="A4"/>
      <selection pane="bottomRight" activeCell="AJ116" sqref="AJ116"/>
    </sheetView>
  </sheetViews>
  <sheetFormatPr defaultRowHeight="14.4"/>
  <cols>
    <col min="1" max="1" width="5.6640625" bestFit="1" customWidth="1"/>
    <col min="2" max="2" width="7.5546875" bestFit="1" customWidth="1"/>
    <col min="3" max="3" width="6.5546875" bestFit="1" customWidth="1"/>
    <col min="4" max="4" width="5.44140625" bestFit="1" customWidth="1"/>
    <col min="5" max="5" width="18.77734375" bestFit="1" customWidth="1"/>
    <col min="6" max="7" width="10.33203125" bestFit="1" customWidth="1"/>
    <col min="8" max="8" width="11.6640625" bestFit="1" customWidth="1"/>
    <col min="9" max="9" width="7.21875" customWidth="1"/>
    <col min="10" max="10" width="6.5546875" customWidth="1"/>
    <col min="11" max="11" width="10.33203125" bestFit="1" customWidth="1"/>
    <col min="12" max="12" width="15.6640625" bestFit="1" customWidth="1"/>
    <col min="13" max="13" width="6.77734375" customWidth="1"/>
    <col min="14" max="14" width="10.33203125" bestFit="1" customWidth="1"/>
    <col min="15" max="15" width="8.77734375" bestFit="1" customWidth="1"/>
    <col min="16" max="16" width="23.33203125" bestFit="1" customWidth="1"/>
    <col min="17" max="17" width="45.6640625" bestFit="1" customWidth="1"/>
    <col min="18" max="18" width="23.88671875" bestFit="1" customWidth="1"/>
    <col min="19" max="19" width="60.44140625" bestFit="1" customWidth="1"/>
    <col min="20" max="20" width="7.21875" bestFit="1" customWidth="1"/>
    <col min="21" max="21" width="8.77734375" bestFit="1" customWidth="1"/>
    <col min="22" max="22" width="11.33203125" bestFit="1" customWidth="1"/>
    <col min="23" max="23" width="9.77734375" bestFit="1" customWidth="1"/>
    <col min="24" max="24" width="11.33203125" bestFit="1" customWidth="1"/>
    <col min="25" max="25" width="11" bestFit="1" customWidth="1"/>
    <col min="26" max="26" width="10.33203125" bestFit="1" customWidth="1"/>
    <col min="27" max="27" width="13.33203125" bestFit="1" customWidth="1"/>
    <col min="28" max="28" width="7" bestFit="1" customWidth="1"/>
    <col min="29" max="29" width="13.21875" bestFit="1" customWidth="1"/>
    <col min="30" max="30" width="7" bestFit="1" customWidth="1"/>
    <col min="31" max="31" width="13.21875" bestFit="1" customWidth="1"/>
    <col min="32" max="32" width="6" bestFit="1" customWidth="1"/>
    <col min="33" max="33" width="12.33203125" bestFit="1" customWidth="1"/>
    <col min="34" max="34" width="6" bestFit="1" customWidth="1"/>
    <col min="35" max="35" width="10" customWidth="1"/>
    <col min="36" max="36" width="7.88671875" customWidth="1"/>
    <col min="37" max="37" width="9.77734375" bestFit="1" customWidth="1"/>
    <col min="38" max="38" width="40" bestFit="1" customWidth="1"/>
    <col min="39" max="39" width="4.88671875" bestFit="1" customWidth="1"/>
    <col min="40" max="40" width="8.6640625" bestFit="1" customWidth="1"/>
    <col min="41" max="41" width="21.33203125" bestFit="1" customWidth="1"/>
    <col min="42" max="42" width="12.21875" bestFit="1" customWidth="1"/>
    <col min="43" max="44" width="12.88671875" bestFit="1" customWidth="1"/>
    <col min="45" max="45" width="9" bestFit="1" customWidth="1"/>
    <col min="46" max="46" width="21.6640625" bestFit="1" customWidth="1"/>
    <col min="47" max="47" width="22.109375" bestFit="1" customWidth="1"/>
    <col min="48" max="48" width="7.44140625" bestFit="1" customWidth="1"/>
    <col min="49" max="49" width="8.77734375" bestFit="1" customWidth="1"/>
    <col min="50" max="50" width="20.88671875" bestFit="1" customWidth="1"/>
    <col min="51" max="51" width="18.33203125" bestFit="1" customWidth="1"/>
    <col min="52" max="52" width="10.33203125" bestFit="1" customWidth="1"/>
    <col min="53" max="53" width="8.5546875" bestFit="1" customWidth="1"/>
    <col min="54" max="54" width="8.77734375" bestFit="1" customWidth="1"/>
    <col min="55" max="55" width="6.21875" bestFit="1" customWidth="1"/>
    <col min="56" max="56" width="12.44140625" bestFit="1" customWidth="1"/>
    <col min="57" max="57" width="14" bestFit="1" customWidth="1"/>
    <col min="58" max="58" width="9.77734375" bestFit="1" customWidth="1"/>
    <col min="59" max="59" width="10.33203125" bestFit="1" customWidth="1"/>
    <col min="60" max="60" width="14" bestFit="1" customWidth="1"/>
    <col min="61" max="61" width="16.5546875" bestFit="1" customWidth="1"/>
    <col min="62" max="62" width="14" bestFit="1" customWidth="1"/>
    <col min="63" max="63" width="16.5546875" bestFit="1" customWidth="1"/>
    <col min="64" max="64" width="14" bestFit="1" customWidth="1"/>
    <col min="65" max="65" width="10.33203125" bestFit="1" customWidth="1"/>
    <col min="66" max="66" width="9.77734375" bestFit="1" customWidth="1"/>
    <col min="67" max="67" width="12.33203125" bestFit="1" customWidth="1"/>
    <col min="68" max="68" width="6.21875" bestFit="1" customWidth="1"/>
    <col min="69" max="69" width="9.77734375" bestFit="1" customWidth="1"/>
    <col min="70" max="70" width="8.5546875" bestFit="1" customWidth="1"/>
    <col min="71" max="71" width="8.44140625" bestFit="1" customWidth="1"/>
    <col min="72" max="72" width="9.44140625" customWidth="1"/>
    <col min="73" max="73" width="32.109375" bestFit="1" customWidth="1"/>
    <col min="74" max="74" width="8.77734375" bestFit="1" customWidth="1"/>
    <col min="75" max="75" width="17.6640625" bestFit="1" customWidth="1"/>
    <col min="76" max="76" width="8" bestFit="1" customWidth="1"/>
    <col min="77" max="77" width="4" bestFit="1" customWidth="1"/>
    <col min="78" max="78" width="11.33203125" bestFit="1" customWidth="1"/>
    <col min="79" max="79" width="7.33203125" bestFit="1" customWidth="1"/>
    <col min="80" max="80" width="10.33203125" bestFit="1" customWidth="1"/>
    <col min="81" max="81" width="16.5546875" bestFit="1" customWidth="1"/>
    <col min="82" max="83" width="9.77734375" bestFit="1" customWidth="1"/>
    <col min="84" max="84" width="23.77734375" bestFit="1" customWidth="1"/>
    <col min="85" max="85" width="8.77734375" bestFit="1" customWidth="1"/>
    <col min="86" max="86" width="6.88671875" customWidth="1"/>
    <col min="87" max="87" width="6.21875" bestFit="1" customWidth="1"/>
    <col min="88" max="88" width="12.33203125" bestFit="1" customWidth="1"/>
    <col min="89" max="89" width="11.33203125" bestFit="1" customWidth="1"/>
    <col min="90" max="90" width="14" bestFit="1" customWidth="1"/>
    <col min="91" max="91" width="4.33203125" bestFit="1" customWidth="1"/>
    <col min="92" max="92" width="14" bestFit="1" customWidth="1"/>
    <col min="93" max="93" width="12.33203125" bestFit="1" customWidth="1"/>
    <col min="94" max="94" width="9.77734375" bestFit="1" customWidth="1"/>
    <col min="95" max="95" width="12.33203125" bestFit="1" customWidth="1"/>
    <col min="96" max="96" width="11.33203125" bestFit="1" customWidth="1"/>
    <col min="97" max="97" width="10.33203125" bestFit="1" customWidth="1"/>
    <col min="98" max="98" width="17.44140625" bestFit="1" customWidth="1"/>
    <col min="99" max="99" width="17.77734375" bestFit="1" customWidth="1"/>
    <col min="100" max="100" width="8.77734375" bestFit="1" customWidth="1"/>
  </cols>
  <sheetData>
    <row r="1" spans="1:100" ht="15.75" customHeight="1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  <c r="CI1" s="64"/>
      <c r="CJ1" s="64"/>
      <c r="CK1" s="63"/>
      <c r="CL1" s="63"/>
      <c r="CM1" s="63"/>
      <c r="CN1" s="63"/>
      <c r="CO1" s="63"/>
      <c r="CP1" s="63"/>
      <c r="CQ1" s="63"/>
      <c r="CR1" s="63"/>
      <c r="CS1" s="63"/>
      <c r="CT1" s="63"/>
      <c r="CU1" s="63"/>
      <c r="CV1" s="63"/>
    </row>
    <row r="2" spans="1:100" ht="15.75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4"/>
      <c r="CJ2" s="64"/>
      <c r="CK2" s="63"/>
      <c r="CL2" s="63"/>
      <c r="CM2" s="63"/>
      <c r="CN2" s="63"/>
      <c r="CO2" s="63"/>
      <c r="CP2" s="63"/>
      <c r="CQ2" s="63"/>
      <c r="CR2" s="63"/>
      <c r="CS2" s="63"/>
      <c r="CT2" s="63"/>
      <c r="CU2" s="63"/>
      <c r="CV2" s="63"/>
    </row>
    <row r="3" spans="1:100" ht="70.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2" t="s">
        <v>17</v>
      </c>
      <c r="R3" s="1" t="s">
        <v>18</v>
      </c>
      <c r="S3" s="1" t="s">
        <v>19</v>
      </c>
      <c r="T3" s="3" t="s">
        <v>20</v>
      </c>
      <c r="U3" s="3" t="s">
        <v>21</v>
      </c>
      <c r="V3" s="4" t="s">
        <v>22</v>
      </c>
      <c r="W3" s="4" t="s">
        <v>23</v>
      </c>
      <c r="X3" s="4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28</v>
      </c>
      <c r="AE3" s="1" t="s">
        <v>30</v>
      </c>
      <c r="AF3" s="1" t="s">
        <v>28</v>
      </c>
      <c r="AG3" s="1" t="s">
        <v>31</v>
      </c>
      <c r="AH3" s="1" t="s">
        <v>28</v>
      </c>
      <c r="AI3" s="1" t="s">
        <v>32</v>
      </c>
      <c r="AJ3" s="1" t="s">
        <v>28</v>
      </c>
      <c r="AK3" s="1" t="s">
        <v>33</v>
      </c>
      <c r="AL3" s="1" t="s">
        <v>34</v>
      </c>
      <c r="AM3" s="1" t="s">
        <v>35</v>
      </c>
      <c r="AN3" s="5" t="s">
        <v>36</v>
      </c>
      <c r="AO3" s="1" t="s">
        <v>37</v>
      </c>
      <c r="AP3" s="1" t="s">
        <v>38</v>
      </c>
      <c r="AQ3" s="1" t="s">
        <v>39</v>
      </c>
      <c r="AR3" s="1" t="s">
        <v>40</v>
      </c>
      <c r="AS3" s="1" t="s">
        <v>41</v>
      </c>
      <c r="AT3" s="1" t="s">
        <v>42</v>
      </c>
      <c r="AU3" s="1" t="s">
        <v>43</v>
      </c>
      <c r="AV3" s="1" t="s">
        <v>44</v>
      </c>
      <c r="AW3" s="4" t="s">
        <v>45</v>
      </c>
      <c r="AX3" s="1" t="s">
        <v>46</v>
      </c>
      <c r="AY3" s="1" t="s">
        <v>47</v>
      </c>
      <c r="AZ3" s="1" t="s">
        <v>48</v>
      </c>
      <c r="BA3" s="3" t="s">
        <v>49</v>
      </c>
      <c r="BB3" s="4" t="s">
        <v>50</v>
      </c>
      <c r="BC3" s="3" t="s">
        <v>51</v>
      </c>
      <c r="BD3" s="3" t="s">
        <v>52</v>
      </c>
      <c r="BE3" s="4" t="s">
        <v>22</v>
      </c>
      <c r="BF3" s="3" t="s">
        <v>53</v>
      </c>
      <c r="BG3" s="6" t="s">
        <v>54</v>
      </c>
      <c r="BH3" s="3" t="s">
        <v>24</v>
      </c>
      <c r="BI3" s="3" t="s">
        <v>55</v>
      </c>
      <c r="BJ3" s="3" t="s">
        <v>56</v>
      </c>
      <c r="BK3" s="3" t="s">
        <v>57</v>
      </c>
      <c r="BL3" s="3" t="s">
        <v>58</v>
      </c>
      <c r="BM3" s="3" t="s">
        <v>59</v>
      </c>
      <c r="BN3" s="3" t="s">
        <v>60</v>
      </c>
      <c r="BO3" s="3" t="s">
        <v>61</v>
      </c>
      <c r="BP3" s="3" t="s">
        <v>62</v>
      </c>
      <c r="BQ3" s="3" t="s">
        <v>63</v>
      </c>
      <c r="BR3" s="1" t="s">
        <v>64</v>
      </c>
      <c r="BS3" s="1" t="s">
        <v>65</v>
      </c>
      <c r="BT3" s="1" t="s">
        <v>66</v>
      </c>
      <c r="BU3" s="1" t="s">
        <v>67</v>
      </c>
      <c r="BV3" s="1" t="s">
        <v>68</v>
      </c>
      <c r="BW3" s="1" t="s">
        <v>69</v>
      </c>
      <c r="BX3" s="1" t="s">
        <v>70</v>
      </c>
      <c r="BY3" s="3" t="s">
        <v>71</v>
      </c>
      <c r="BZ3" s="3" t="s">
        <v>72</v>
      </c>
      <c r="CA3" s="3" t="s">
        <v>73</v>
      </c>
      <c r="CB3" s="7" t="s">
        <v>74</v>
      </c>
      <c r="CC3" s="7" t="s">
        <v>75</v>
      </c>
      <c r="CD3" s="3" t="s">
        <v>76</v>
      </c>
      <c r="CE3" s="1" t="s">
        <v>77</v>
      </c>
      <c r="CF3" s="1" t="s">
        <v>78</v>
      </c>
      <c r="CG3" s="1" t="s">
        <v>79</v>
      </c>
      <c r="CH3" s="1" t="s">
        <v>80</v>
      </c>
      <c r="CI3" s="3" t="s">
        <v>81</v>
      </c>
      <c r="CJ3" s="3" t="s">
        <v>82</v>
      </c>
      <c r="CK3" s="1" t="s">
        <v>83</v>
      </c>
      <c r="CL3" s="3" t="s">
        <v>84</v>
      </c>
      <c r="CM3" s="1" t="s">
        <v>85</v>
      </c>
      <c r="CN3" s="1" t="s">
        <v>86</v>
      </c>
      <c r="CO3" s="3" t="s">
        <v>87</v>
      </c>
      <c r="CP3" s="3" t="s">
        <v>88</v>
      </c>
      <c r="CQ3" s="1" t="s">
        <v>89</v>
      </c>
      <c r="CR3" s="3" t="s">
        <v>90</v>
      </c>
      <c r="CS3" s="8" t="s">
        <v>91</v>
      </c>
      <c r="CT3" s="1" t="s">
        <v>92</v>
      </c>
      <c r="CU3" s="1" t="s">
        <v>93</v>
      </c>
      <c r="CV3" s="9" t="s">
        <v>94</v>
      </c>
    </row>
    <row r="4" spans="1:100">
      <c r="A4" s="10">
        <v>1</v>
      </c>
      <c r="B4" s="10">
        <f t="shared" ref="B4:BH4" si="0">+A4+1</f>
        <v>2</v>
      </c>
      <c r="C4" s="10">
        <f t="shared" si="0"/>
        <v>3</v>
      </c>
      <c r="D4" s="10">
        <f t="shared" si="0"/>
        <v>4</v>
      </c>
      <c r="E4" s="10">
        <f t="shared" si="0"/>
        <v>5</v>
      </c>
      <c r="F4" s="11">
        <f t="shared" si="0"/>
        <v>6</v>
      </c>
      <c r="G4" s="10">
        <f t="shared" si="0"/>
        <v>7</v>
      </c>
      <c r="H4" s="10">
        <f t="shared" si="0"/>
        <v>8</v>
      </c>
      <c r="I4" s="10">
        <f t="shared" si="0"/>
        <v>9</v>
      </c>
      <c r="J4" s="10">
        <f t="shared" si="0"/>
        <v>10</v>
      </c>
      <c r="K4" s="10">
        <f t="shared" si="0"/>
        <v>11</v>
      </c>
      <c r="L4" s="10">
        <f t="shared" si="0"/>
        <v>12</v>
      </c>
      <c r="M4" s="10">
        <f t="shared" si="0"/>
        <v>13</v>
      </c>
      <c r="N4" s="10">
        <f t="shared" si="0"/>
        <v>14</v>
      </c>
      <c r="O4" s="10">
        <f t="shared" si="0"/>
        <v>15</v>
      </c>
      <c r="P4" s="10">
        <f t="shared" si="0"/>
        <v>16</v>
      </c>
      <c r="Q4" s="10">
        <f t="shared" si="0"/>
        <v>17</v>
      </c>
      <c r="R4" s="10">
        <f t="shared" si="0"/>
        <v>18</v>
      </c>
      <c r="S4" s="10">
        <f t="shared" si="0"/>
        <v>19</v>
      </c>
      <c r="T4" s="10">
        <f t="shared" si="0"/>
        <v>20</v>
      </c>
      <c r="U4" s="10">
        <f t="shared" si="0"/>
        <v>21</v>
      </c>
      <c r="V4" s="10">
        <f t="shared" si="0"/>
        <v>22</v>
      </c>
      <c r="W4" s="10">
        <f t="shared" si="0"/>
        <v>23</v>
      </c>
      <c r="X4" s="10">
        <f t="shared" si="0"/>
        <v>24</v>
      </c>
      <c r="Y4" s="10">
        <f t="shared" si="0"/>
        <v>25</v>
      </c>
      <c r="Z4" s="10">
        <f t="shared" si="0"/>
        <v>26</v>
      </c>
      <c r="AA4" s="10">
        <f t="shared" si="0"/>
        <v>27</v>
      </c>
      <c r="AB4" s="10">
        <f t="shared" si="0"/>
        <v>28</v>
      </c>
      <c r="AC4" s="10">
        <f t="shared" si="0"/>
        <v>29</v>
      </c>
      <c r="AD4" s="10">
        <f t="shared" si="0"/>
        <v>30</v>
      </c>
      <c r="AE4" s="10">
        <f t="shared" si="0"/>
        <v>31</v>
      </c>
      <c r="AF4" s="10">
        <f t="shared" si="0"/>
        <v>32</v>
      </c>
      <c r="AG4" s="10">
        <f t="shared" si="0"/>
        <v>33</v>
      </c>
      <c r="AH4" s="10">
        <f t="shared" si="0"/>
        <v>34</v>
      </c>
      <c r="AI4" s="10">
        <f t="shared" si="0"/>
        <v>35</v>
      </c>
      <c r="AJ4" s="10">
        <f t="shared" si="0"/>
        <v>36</v>
      </c>
      <c r="AK4" s="10">
        <f t="shared" si="0"/>
        <v>37</v>
      </c>
      <c r="AL4" s="10">
        <f t="shared" si="0"/>
        <v>38</v>
      </c>
      <c r="AM4" s="10">
        <f t="shared" si="0"/>
        <v>39</v>
      </c>
      <c r="AN4" s="10">
        <f t="shared" si="0"/>
        <v>40</v>
      </c>
      <c r="AO4" s="10">
        <f t="shared" si="0"/>
        <v>41</v>
      </c>
      <c r="AP4" s="10">
        <f t="shared" si="0"/>
        <v>42</v>
      </c>
      <c r="AQ4" s="10">
        <f t="shared" si="0"/>
        <v>43</v>
      </c>
      <c r="AR4" s="10">
        <f t="shared" si="0"/>
        <v>44</v>
      </c>
      <c r="AS4" s="10">
        <f t="shared" si="0"/>
        <v>45</v>
      </c>
      <c r="AT4" s="10">
        <f t="shared" si="0"/>
        <v>46</v>
      </c>
      <c r="AU4" s="10">
        <f t="shared" si="0"/>
        <v>47</v>
      </c>
      <c r="AV4" s="10">
        <f t="shared" si="0"/>
        <v>48</v>
      </c>
      <c r="AW4" s="10">
        <f t="shared" si="0"/>
        <v>49</v>
      </c>
      <c r="AX4" s="10">
        <f t="shared" si="0"/>
        <v>50</v>
      </c>
      <c r="AY4" s="10">
        <f t="shared" si="0"/>
        <v>51</v>
      </c>
      <c r="AZ4" s="10">
        <f t="shared" si="0"/>
        <v>52</v>
      </c>
      <c r="BA4" s="10">
        <f t="shared" si="0"/>
        <v>53</v>
      </c>
      <c r="BB4" s="10">
        <f t="shared" si="0"/>
        <v>54</v>
      </c>
      <c r="BC4" s="10">
        <f t="shared" si="0"/>
        <v>55</v>
      </c>
      <c r="BD4" s="10">
        <f t="shared" si="0"/>
        <v>56</v>
      </c>
      <c r="BE4" s="10">
        <f t="shared" si="0"/>
        <v>57</v>
      </c>
      <c r="BF4" s="10">
        <f t="shared" si="0"/>
        <v>58</v>
      </c>
      <c r="BG4" s="10">
        <f t="shared" si="0"/>
        <v>59</v>
      </c>
      <c r="BH4" s="10">
        <f t="shared" si="0"/>
        <v>60</v>
      </c>
      <c r="BI4" s="10">
        <f>+BH4+1</f>
        <v>61</v>
      </c>
      <c r="BJ4" s="10">
        <f>+BI4+1</f>
        <v>62</v>
      </c>
      <c r="BK4" s="10">
        <f>+BJ4+1</f>
        <v>63</v>
      </c>
      <c r="BL4" s="10">
        <f>+BK4+1</f>
        <v>64</v>
      </c>
      <c r="BM4" s="10">
        <f t="shared" ref="BM4:CV4" si="1">+BL4+1</f>
        <v>65</v>
      </c>
      <c r="BN4" s="10">
        <f t="shared" si="1"/>
        <v>66</v>
      </c>
      <c r="BO4" s="10">
        <f t="shared" si="1"/>
        <v>67</v>
      </c>
      <c r="BP4" s="10">
        <f t="shared" si="1"/>
        <v>68</v>
      </c>
      <c r="BQ4" s="10">
        <f t="shared" si="1"/>
        <v>69</v>
      </c>
      <c r="BR4" s="10">
        <f t="shared" si="1"/>
        <v>70</v>
      </c>
      <c r="BS4" s="10">
        <f t="shared" si="1"/>
        <v>71</v>
      </c>
      <c r="BT4" s="10">
        <f t="shared" si="1"/>
        <v>72</v>
      </c>
      <c r="BU4" s="10">
        <f t="shared" si="1"/>
        <v>73</v>
      </c>
      <c r="BV4" s="10">
        <f t="shared" si="1"/>
        <v>74</v>
      </c>
      <c r="BW4" s="10">
        <f t="shared" si="1"/>
        <v>75</v>
      </c>
      <c r="BX4" s="10">
        <f t="shared" si="1"/>
        <v>76</v>
      </c>
      <c r="BY4" s="10">
        <f t="shared" si="1"/>
        <v>77</v>
      </c>
      <c r="BZ4" s="10">
        <f t="shared" si="1"/>
        <v>78</v>
      </c>
      <c r="CA4" s="10">
        <f t="shared" si="1"/>
        <v>79</v>
      </c>
      <c r="CB4" s="10">
        <f t="shared" si="1"/>
        <v>80</v>
      </c>
      <c r="CC4" s="10">
        <f t="shared" si="1"/>
        <v>81</v>
      </c>
      <c r="CD4" s="10">
        <f t="shared" si="1"/>
        <v>82</v>
      </c>
      <c r="CE4" s="10">
        <f t="shared" si="1"/>
        <v>83</v>
      </c>
      <c r="CF4" s="10">
        <f t="shared" si="1"/>
        <v>84</v>
      </c>
      <c r="CG4" s="10">
        <f t="shared" si="1"/>
        <v>85</v>
      </c>
      <c r="CH4" s="10">
        <f t="shared" si="1"/>
        <v>86</v>
      </c>
      <c r="CI4" s="10">
        <f t="shared" si="1"/>
        <v>87</v>
      </c>
      <c r="CJ4" s="10">
        <f t="shared" si="1"/>
        <v>88</v>
      </c>
      <c r="CK4" s="10">
        <f t="shared" si="1"/>
        <v>89</v>
      </c>
      <c r="CL4" s="10">
        <f t="shared" si="1"/>
        <v>90</v>
      </c>
      <c r="CM4" s="10">
        <f t="shared" si="1"/>
        <v>91</v>
      </c>
      <c r="CN4" s="10">
        <f t="shared" si="1"/>
        <v>92</v>
      </c>
      <c r="CO4" s="10">
        <f t="shared" si="1"/>
        <v>93</v>
      </c>
      <c r="CP4" s="10">
        <f t="shared" si="1"/>
        <v>94</v>
      </c>
      <c r="CQ4" s="10">
        <f t="shared" si="1"/>
        <v>95</v>
      </c>
      <c r="CR4" s="10">
        <f t="shared" si="1"/>
        <v>96</v>
      </c>
      <c r="CS4" s="10">
        <f t="shared" si="1"/>
        <v>97</v>
      </c>
      <c r="CT4" s="10">
        <f t="shared" si="1"/>
        <v>98</v>
      </c>
      <c r="CU4" s="10">
        <f t="shared" si="1"/>
        <v>99</v>
      </c>
      <c r="CV4" s="10">
        <f t="shared" si="1"/>
        <v>100</v>
      </c>
    </row>
    <row r="5" spans="1:100" s="13" customFormat="1" ht="43.2">
      <c r="A5" s="12" t="s">
        <v>95</v>
      </c>
      <c r="B5" s="13" t="str">
        <f>RIGHT(E5,6)</f>
        <v>422627</v>
      </c>
      <c r="C5" s="13" t="s">
        <v>96</v>
      </c>
      <c r="D5" s="13" t="s">
        <v>97</v>
      </c>
      <c r="E5" s="13" t="s">
        <v>98</v>
      </c>
      <c r="F5" s="14">
        <v>46132</v>
      </c>
      <c r="G5" s="14">
        <f t="shared" ref="G5:G11" si="2">F5+13</f>
        <v>46145</v>
      </c>
      <c r="H5" s="15" t="s">
        <v>99</v>
      </c>
      <c r="I5" s="15" t="s">
        <v>100</v>
      </c>
      <c r="J5" s="15" t="s">
        <v>100</v>
      </c>
      <c r="K5" s="14">
        <v>46125</v>
      </c>
      <c r="L5" s="13">
        <v>1620020986</v>
      </c>
      <c r="M5" s="13">
        <f>IF(AK5&gt;127000,6,IF(AK5&gt;104000, 5, IF(AK5&gt;79000, 4, IF(AK5&gt;55000, 3, IF(AK5&gt;29000, 2, IF(AK5&gt;4900, 1, 0))))))</f>
        <v>3</v>
      </c>
      <c r="N5" s="14">
        <v>46085</v>
      </c>
      <c r="O5" s="14" t="s">
        <v>101</v>
      </c>
      <c r="P5" s="16" t="s">
        <v>102</v>
      </c>
      <c r="Q5" s="17" t="s">
        <v>103</v>
      </c>
      <c r="R5" s="16" t="s">
        <v>104</v>
      </c>
      <c r="S5" s="13" t="s">
        <v>105</v>
      </c>
      <c r="T5" s="13">
        <v>20</v>
      </c>
      <c r="U5" s="18">
        <v>475</v>
      </c>
      <c r="V5" s="18">
        <f t="shared" ref="V5:V69" si="3">+T5*U5</f>
        <v>9500</v>
      </c>
      <c r="W5" s="18">
        <v>0</v>
      </c>
      <c r="X5" s="18">
        <f t="shared" ref="X5:X20" si="4">+V5-W5</f>
        <v>9500</v>
      </c>
      <c r="Y5" s="19" t="s">
        <v>106</v>
      </c>
      <c r="Z5" s="14">
        <v>46092</v>
      </c>
      <c r="AA5" s="13" t="s">
        <v>107</v>
      </c>
      <c r="AB5" s="13">
        <v>22570</v>
      </c>
      <c r="AC5" s="13" t="s">
        <v>108</v>
      </c>
      <c r="AD5" s="13">
        <v>20810</v>
      </c>
      <c r="AE5" s="13" t="s">
        <v>109</v>
      </c>
      <c r="AF5" s="13">
        <v>21960</v>
      </c>
      <c r="AG5" s="13" t="s">
        <v>110</v>
      </c>
      <c r="AH5" s="20">
        <v>0</v>
      </c>
      <c r="AI5" s="13" t="s">
        <v>110</v>
      </c>
      <c r="AJ5" s="20">
        <v>0</v>
      </c>
      <c r="AK5" s="20">
        <f>AB5+AD5+AF5+AH5+AJ5</f>
        <v>65340</v>
      </c>
      <c r="AL5" s="13" t="s">
        <v>111</v>
      </c>
      <c r="AM5" s="13" t="s">
        <v>112</v>
      </c>
      <c r="AN5" s="21" t="s">
        <v>113</v>
      </c>
      <c r="AO5" s="13" t="s">
        <v>114</v>
      </c>
      <c r="AP5" s="13" t="s">
        <v>115</v>
      </c>
      <c r="AQ5" s="13" t="s">
        <v>116</v>
      </c>
      <c r="AR5" s="13" t="s">
        <v>116</v>
      </c>
      <c r="AS5" s="13">
        <v>72044900</v>
      </c>
      <c r="AT5" s="13" t="s">
        <v>117</v>
      </c>
      <c r="AU5" s="13" t="s">
        <v>118</v>
      </c>
      <c r="AV5" s="13" t="s">
        <v>119</v>
      </c>
      <c r="AW5" s="18">
        <v>800</v>
      </c>
      <c r="AX5" s="13" t="s">
        <v>120</v>
      </c>
      <c r="AY5" s="16" t="s">
        <v>121</v>
      </c>
      <c r="AZ5" s="14">
        <v>46124</v>
      </c>
      <c r="BA5" s="18">
        <f>21.96+22.57+20.81</f>
        <v>65.34</v>
      </c>
      <c r="BB5" s="18">
        <f>((21.96+22.57+20.81)*475)/BA5</f>
        <v>475</v>
      </c>
      <c r="BC5" s="18"/>
      <c r="BD5" s="18">
        <v>94.2</v>
      </c>
      <c r="BE5" s="18">
        <f>BA5*BB5</f>
        <v>31036.5</v>
      </c>
      <c r="BF5" s="18">
        <v>0</v>
      </c>
      <c r="BG5" s="22" t="s">
        <v>110</v>
      </c>
      <c r="BH5" s="18">
        <f>BE5-BF5</f>
        <v>31036.5</v>
      </c>
      <c r="BI5" s="18">
        <f t="shared" ref="BI5:BI68" si="5">+BH5*98</f>
        <v>3041577</v>
      </c>
      <c r="BJ5" s="18">
        <f>BH5</f>
        <v>31036.5</v>
      </c>
      <c r="BK5" s="18">
        <f t="shared" ref="BK5:BK68" si="6">+BI5+CJ5</f>
        <v>3595220.053425</v>
      </c>
      <c r="BL5" s="18">
        <f t="shared" ref="BL5:BL15" si="7">BE5*BD5</f>
        <v>2923638.3000000003</v>
      </c>
      <c r="BM5" s="22">
        <v>46141</v>
      </c>
      <c r="BN5" s="18">
        <v>0</v>
      </c>
      <c r="BO5" s="18">
        <v>0</v>
      </c>
      <c r="BP5" s="18">
        <v>0</v>
      </c>
      <c r="BQ5" s="18">
        <v>2638.62</v>
      </c>
      <c r="BR5" s="16" t="s">
        <v>122</v>
      </c>
      <c r="BS5" s="16" t="s">
        <v>123</v>
      </c>
      <c r="BT5" s="13" t="s">
        <v>124</v>
      </c>
      <c r="BU5" s="13" t="s">
        <v>125</v>
      </c>
      <c r="BV5" s="13" t="s">
        <v>126</v>
      </c>
      <c r="BW5" s="13" t="s">
        <v>127</v>
      </c>
      <c r="BX5" s="13" t="s">
        <v>128</v>
      </c>
      <c r="BY5" s="13" t="s">
        <v>129</v>
      </c>
      <c r="BZ5" s="18">
        <f>4500+43500+1500+4500+1200+6000+1500+15000+510+1290+3000</f>
        <v>82500</v>
      </c>
      <c r="CA5" s="18" t="s">
        <v>130</v>
      </c>
      <c r="CB5" s="13" t="s">
        <v>110</v>
      </c>
      <c r="CC5" s="14" t="s">
        <v>110</v>
      </c>
      <c r="CD5" s="18">
        <v>0</v>
      </c>
      <c r="CE5" s="23">
        <v>9040</v>
      </c>
      <c r="CF5" s="12" t="s">
        <v>131</v>
      </c>
      <c r="CG5" s="13">
        <v>8834648</v>
      </c>
      <c r="CH5" s="13" t="s">
        <v>100</v>
      </c>
      <c r="CI5" s="24">
        <v>94.2</v>
      </c>
      <c r="CJ5" s="24">
        <f t="shared" ref="CJ5:CJ68" si="8">((AK5*U5/1000)+((AK5*U5/1000)*1.125%))*98*18%</f>
        <v>553643.05342499993</v>
      </c>
      <c r="CK5" s="24">
        <v>31036.5</v>
      </c>
      <c r="CL5" s="24">
        <f>ROUND(CK5*CI5,0)</f>
        <v>2923638</v>
      </c>
      <c r="CM5" s="18">
        <v>0</v>
      </c>
      <c r="CN5" s="18">
        <f t="shared" ref="CN5:CN69" si="9">CL5+CM5</f>
        <v>2923638</v>
      </c>
      <c r="CO5" s="18">
        <f t="shared" ref="CO5:CO31" si="10">CN5*18%</f>
        <v>526254.84</v>
      </c>
      <c r="CP5" s="18">
        <v>2163</v>
      </c>
      <c r="CQ5" s="18">
        <f t="shared" ref="CQ5:CQ69" si="11">ROUND((CO5+CP5+CM5),0)</f>
        <v>528418</v>
      </c>
      <c r="CR5" s="18">
        <f>72900+3450+44870+2100</f>
        <v>123320</v>
      </c>
      <c r="CS5" s="14">
        <v>46147</v>
      </c>
      <c r="CT5" s="13" t="s">
        <v>110</v>
      </c>
      <c r="CU5" s="13" t="s">
        <v>132</v>
      </c>
    </row>
    <row r="6" spans="1:100" s="13" customFormat="1" ht="43.2">
      <c r="A6" s="12" t="s">
        <v>95</v>
      </c>
      <c r="B6" s="13" t="str">
        <f t="shared" ref="B6:B70" si="12">RIGHT(E6,6)</f>
        <v>072627</v>
      </c>
      <c r="C6" s="13" t="s">
        <v>96</v>
      </c>
      <c r="D6" s="13" t="s">
        <v>97</v>
      </c>
      <c r="E6" s="13" t="s">
        <v>133</v>
      </c>
      <c r="F6" s="14">
        <v>46136</v>
      </c>
      <c r="G6" s="14">
        <f t="shared" si="2"/>
        <v>46149</v>
      </c>
      <c r="H6" s="15" t="s">
        <v>99</v>
      </c>
      <c r="I6" s="15" t="s">
        <v>100</v>
      </c>
      <c r="J6" s="15" t="s">
        <v>100</v>
      </c>
      <c r="K6" s="14">
        <v>46125</v>
      </c>
      <c r="L6" s="13">
        <v>1620020986</v>
      </c>
      <c r="M6" s="13">
        <f t="shared" ref="M6:M69" si="13">IF(AK6&gt;127000,6,IF(AK6&gt;104000, 5, IF(AK6&gt;79000, 4, IF(AK6&gt;55000, 3, IF(AK6&gt;29000, 2, IF(AK6&gt;4900, 1, 0))))))</f>
        <v>1</v>
      </c>
      <c r="N6" s="14">
        <v>46085</v>
      </c>
      <c r="O6" s="14" t="s">
        <v>101</v>
      </c>
      <c r="P6" s="16" t="s">
        <v>102</v>
      </c>
      <c r="Q6" s="17" t="s">
        <v>103</v>
      </c>
      <c r="R6" s="16" t="s">
        <v>134</v>
      </c>
      <c r="S6" s="13" t="s">
        <v>105</v>
      </c>
      <c r="T6" s="13">
        <v>20</v>
      </c>
      <c r="U6" s="18">
        <v>475</v>
      </c>
      <c r="V6" s="18">
        <f t="shared" si="3"/>
        <v>9500</v>
      </c>
      <c r="W6" s="18">
        <v>0</v>
      </c>
      <c r="X6" s="18">
        <f t="shared" si="4"/>
        <v>9500</v>
      </c>
      <c r="Y6" s="19">
        <v>8110045031</v>
      </c>
      <c r="Z6" s="14">
        <v>46093</v>
      </c>
      <c r="AA6" s="13" t="s">
        <v>135</v>
      </c>
      <c r="AB6" s="13">
        <v>22.94</v>
      </c>
      <c r="AC6" s="13" t="s">
        <v>110</v>
      </c>
      <c r="AD6" s="13" t="s">
        <v>110</v>
      </c>
      <c r="AE6" s="13" t="s">
        <v>110</v>
      </c>
      <c r="AF6" s="13" t="s">
        <v>110</v>
      </c>
      <c r="AG6" s="13" t="s">
        <v>110</v>
      </c>
      <c r="AH6" s="13" t="s">
        <v>110</v>
      </c>
      <c r="AI6" s="13" t="s">
        <v>110</v>
      </c>
      <c r="AJ6" s="13" t="s">
        <v>110</v>
      </c>
      <c r="AK6" s="13">
        <v>22940</v>
      </c>
      <c r="AL6" s="13" t="s">
        <v>111</v>
      </c>
      <c r="AM6" s="13" t="s">
        <v>112</v>
      </c>
      <c r="AN6" s="21" t="s">
        <v>136</v>
      </c>
      <c r="AO6" s="16" t="s">
        <v>137</v>
      </c>
      <c r="AP6" s="13" t="s">
        <v>115</v>
      </c>
      <c r="AQ6" s="13" t="s">
        <v>116</v>
      </c>
      <c r="AR6" s="13" t="s">
        <v>116</v>
      </c>
      <c r="AS6" s="13">
        <v>72044900</v>
      </c>
      <c r="AT6" s="13" t="s">
        <v>117</v>
      </c>
      <c r="AU6" s="13" t="s">
        <v>138</v>
      </c>
      <c r="AV6" s="13" t="s">
        <v>119</v>
      </c>
      <c r="AW6" s="18">
        <v>800</v>
      </c>
      <c r="AX6" s="13" t="s">
        <v>139</v>
      </c>
      <c r="AY6" s="13">
        <v>9000099302</v>
      </c>
      <c r="AZ6" s="14">
        <v>46124</v>
      </c>
      <c r="BA6" s="18">
        <v>22.94</v>
      </c>
      <c r="BB6" s="18">
        <v>475</v>
      </c>
      <c r="BC6" s="18"/>
      <c r="BD6" s="23">
        <v>94.98</v>
      </c>
      <c r="BE6" s="18">
        <f>BA6*BB6</f>
        <v>10896.5</v>
      </c>
      <c r="BF6" s="18">
        <v>0</v>
      </c>
      <c r="BG6" s="22" t="s">
        <v>110</v>
      </c>
      <c r="BH6" s="18">
        <f>BE6-BF6</f>
        <v>10896.5</v>
      </c>
      <c r="BI6" s="24">
        <f t="shared" si="5"/>
        <v>1067857</v>
      </c>
      <c r="BJ6" s="18">
        <f>BH6</f>
        <v>10896.5</v>
      </c>
      <c r="BK6" s="24">
        <f t="shared" si="6"/>
        <v>1262233.6704249999</v>
      </c>
      <c r="BL6" s="18">
        <f t="shared" si="7"/>
        <v>1034949.5700000001</v>
      </c>
      <c r="BM6" s="22">
        <v>46141</v>
      </c>
      <c r="BN6" s="18">
        <v>0</v>
      </c>
      <c r="BO6" s="18">
        <v>0</v>
      </c>
      <c r="BP6" s="18">
        <v>0</v>
      </c>
      <c r="BQ6" s="18">
        <v>2294.3000000000002</v>
      </c>
      <c r="BR6" s="16" t="s">
        <v>122</v>
      </c>
      <c r="BS6" s="16" t="s">
        <v>123</v>
      </c>
      <c r="BT6" s="13" t="s">
        <v>124</v>
      </c>
      <c r="BU6" s="13" t="s">
        <v>125</v>
      </c>
      <c r="BV6" s="13" t="s">
        <v>126</v>
      </c>
      <c r="BW6" s="13" t="s">
        <v>127</v>
      </c>
      <c r="BX6" s="13" t="s">
        <v>140</v>
      </c>
      <c r="BY6" s="13" t="s">
        <v>129</v>
      </c>
      <c r="BZ6" s="18">
        <f>4500+14500+500+1500+400+2000+500+5000+170+430+1000</f>
        <v>30500</v>
      </c>
      <c r="CA6" s="18" t="s">
        <v>130</v>
      </c>
      <c r="CB6" s="13" t="s">
        <v>110</v>
      </c>
      <c r="CC6" s="14" t="s">
        <v>110</v>
      </c>
      <c r="CD6" s="18" t="s">
        <v>110</v>
      </c>
      <c r="CE6" s="13" t="s">
        <v>110</v>
      </c>
      <c r="CF6" s="13" t="s">
        <v>110</v>
      </c>
      <c r="CG6" s="13">
        <v>8834649</v>
      </c>
      <c r="CH6" s="13" t="s">
        <v>100</v>
      </c>
      <c r="CI6" s="24">
        <v>94.2</v>
      </c>
      <c r="CJ6" s="24">
        <f t="shared" si="8"/>
        <v>194376.67042499996</v>
      </c>
      <c r="CK6" s="24">
        <v>10896.5</v>
      </c>
      <c r="CL6" s="24">
        <f t="shared" ref="CL6:CL64" si="14">ROUND(CK6*CI6,0)</f>
        <v>1026450</v>
      </c>
      <c r="CM6" s="18">
        <v>0</v>
      </c>
      <c r="CN6" s="18">
        <f t="shared" si="9"/>
        <v>1026450</v>
      </c>
      <c r="CO6" s="18">
        <f t="shared" si="10"/>
        <v>184761</v>
      </c>
      <c r="CP6" s="18">
        <v>759</v>
      </c>
      <c r="CQ6" s="18">
        <f t="shared" si="11"/>
        <v>185520</v>
      </c>
      <c r="CR6" s="18">
        <f>24300+1220+14970+700</f>
        <v>41190</v>
      </c>
      <c r="CS6" s="14">
        <v>46149</v>
      </c>
      <c r="CT6" s="13" t="s">
        <v>110</v>
      </c>
      <c r="CU6" s="13" t="s">
        <v>141</v>
      </c>
    </row>
    <row r="7" spans="1:100" s="13" customFormat="1" ht="72">
      <c r="A7" s="12" t="s">
        <v>95</v>
      </c>
      <c r="B7" s="13" t="str">
        <f t="shared" si="12"/>
        <v>084931</v>
      </c>
      <c r="C7" s="13" t="s">
        <v>96</v>
      </c>
      <c r="D7" s="13" t="s">
        <v>97</v>
      </c>
      <c r="E7" s="13" t="s">
        <v>142</v>
      </c>
      <c r="F7" s="14">
        <v>46125</v>
      </c>
      <c r="G7" s="14">
        <f t="shared" si="2"/>
        <v>46138</v>
      </c>
      <c r="H7" s="15" t="s">
        <v>99</v>
      </c>
      <c r="I7" s="15" t="s">
        <v>100</v>
      </c>
      <c r="J7" s="15" t="s">
        <v>100</v>
      </c>
      <c r="K7" s="14">
        <v>46114</v>
      </c>
      <c r="L7" s="13">
        <v>1620020936</v>
      </c>
      <c r="M7" s="13">
        <f t="shared" si="13"/>
        <v>3</v>
      </c>
      <c r="N7" s="14">
        <v>46069</v>
      </c>
      <c r="O7" s="14" t="s">
        <v>101</v>
      </c>
      <c r="P7" s="16" t="s">
        <v>102</v>
      </c>
      <c r="Q7" s="17" t="s">
        <v>143</v>
      </c>
      <c r="R7" s="16" t="s">
        <v>144</v>
      </c>
      <c r="S7" s="13" t="s">
        <v>105</v>
      </c>
      <c r="T7" s="13">
        <v>200</v>
      </c>
      <c r="U7" s="18">
        <v>525</v>
      </c>
      <c r="V7" s="18">
        <f t="shared" si="3"/>
        <v>105000</v>
      </c>
      <c r="W7" s="18">
        <f>+V7*0%</f>
        <v>0</v>
      </c>
      <c r="X7" s="18">
        <f t="shared" si="4"/>
        <v>105000</v>
      </c>
      <c r="Y7" s="19" t="s">
        <v>145</v>
      </c>
      <c r="Z7" s="14">
        <v>46079</v>
      </c>
      <c r="AA7" s="13" t="s">
        <v>146</v>
      </c>
      <c r="AB7" s="13">
        <v>23.49</v>
      </c>
      <c r="AC7" s="13" t="s">
        <v>147</v>
      </c>
      <c r="AD7" s="13">
        <v>21.45</v>
      </c>
      <c r="AE7" s="13" t="s">
        <v>148</v>
      </c>
      <c r="AF7" s="13">
        <v>21.17</v>
      </c>
      <c r="AG7" s="13" t="s">
        <v>110</v>
      </c>
      <c r="AH7" s="13" t="s">
        <v>110</v>
      </c>
      <c r="AI7" s="13" t="s">
        <v>110</v>
      </c>
      <c r="AJ7" s="13" t="s">
        <v>110</v>
      </c>
      <c r="AK7" s="13">
        <v>66110</v>
      </c>
      <c r="AL7" s="13" t="s">
        <v>111</v>
      </c>
      <c r="AM7" s="13" t="s">
        <v>112</v>
      </c>
      <c r="AN7" s="21" t="s">
        <v>149</v>
      </c>
      <c r="AO7" s="16" t="s">
        <v>150</v>
      </c>
      <c r="AP7" s="13" t="s">
        <v>115</v>
      </c>
      <c r="AQ7" s="13" t="s">
        <v>116</v>
      </c>
      <c r="AR7" s="13" t="s">
        <v>116</v>
      </c>
      <c r="AS7" s="13">
        <v>72044900</v>
      </c>
      <c r="AT7" s="13" t="s">
        <v>117</v>
      </c>
      <c r="AU7" s="13" t="s">
        <v>151</v>
      </c>
      <c r="AV7" s="13" t="s">
        <v>119</v>
      </c>
      <c r="AW7" s="18">
        <v>800</v>
      </c>
      <c r="AX7" s="13" t="s">
        <v>152</v>
      </c>
      <c r="AY7" s="16" t="s">
        <v>153</v>
      </c>
      <c r="AZ7" s="14">
        <v>46114</v>
      </c>
      <c r="BA7" s="18">
        <f>23.49+21.17+21.45</f>
        <v>66.11</v>
      </c>
      <c r="BB7" s="18">
        <v>525</v>
      </c>
      <c r="BC7" s="18">
        <v>0</v>
      </c>
      <c r="BD7" s="23">
        <v>92.922499999999999</v>
      </c>
      <c r="BE7" s="18">
        <f t="shared" ref="BE7:BE71" si="15">BA7*BB7</f>
        <v>34707.75</v>
      </c>
      <c r="BF7" s="18">
        <v>0</v>
      </c>
      <c r="BG7" s="14" t="s">
        <v>110</v>
      </c>
      <c r="BH7" s="20">
        <f>_xlfn.NUMBERVALUE(BE7)</f>
        <v>34707.75</v>
      </c>
      <c r="BI7" s="24">
        <f t="shared" si="5"/>
        <v>3401359.5</v>
      </c>
      <c r="BJ7" s="18">
        <f>BH7</f>
        <v>34707.75</v>
      </c>
      <c r="BK7" s="24">
        <f t="shared" si="6"/>
        <v>4020491.9629875002</v>
      </c>
      <c r="BL7" s="18">
        <f t="shared" si="7"/>
        <v>3225130.899375</v>
      </c>
      <c r="BM7" s="22">
        <v>46121</v>
      </c>
      <c r="BN7" s="18">
        <v>0</v>
      </c>
      <c r="BO7" s="18">
        <v>0</v>
      </c>
      <c r="BP7" s="18">
        <v>0</v>
      </c>
      <c r="BQ7" s="18">
        <v>2688.52</v>
      </c>
      <c r="BR7" s="13" t="s">
        <v>122</v>
      </c>
      <c r="BS7" s="13" t="s">
        <v>123</v>
      </c>
      <c r="BT7" s="13" t="s">
        <v>124</v>
      </c>
      <c r="BU7" s="13" t="s">
        <v>154</v>
      </c>
      <c r="BV7" s="13" t="s">
        <v>126</v>
      </c>
      <c r="BW7" s="13" t="s">
        <v>127</v>
      </c>
      <c r="BX7" s="13" t="s">
        <v>155</v>
      </c>
      <c r="BY7" s="13" t="s">
        <v>129</v>
      </c>
      <c r="BZ7" s="18">
        <f>37500+1797+10500+1800+510+1500+5400+3000</f>
        <v>62007</v>
      </c>
      <c r="CA7" s="18" t="s">
        <v>130</v>
      </c>
      <c r="CB7" s="13" t="s">
        <v>110</v>
      </c>
      <c r="CC7" s="14" t="s">
        <v>110</v>
      </c>
      <c r="CD7" s="18">
        <v>0</v>
      </c>
      <c r="CE7" s="13" t="s">
        <v>110</v>
      </c>
      <c r="CF7" s="13" t="s">
        <v>110</v>
      </c>
      <c r="CG7" s="25">
        <v>8575953</v>
      </c>
      <c r="CH7" s="13" t="s">
        <v>100</v>
      </c>
      <c r="CI7" s="26">
        <v>93.8</v>
      </c>
      <c r="CJ7" s="24">
        <f t="shared" si="8"/>
        <v>619132.46298750001</v>
      </c>
      <c r="CK7" s="26">
        <v>34707.75</v>
      </c>
      <c r="CL7" s="24">
        <f t="shared" si="14"/>
        <v>3255587</v>
      </c>
      <c r="CM7" s="18">
        <v>0</v>
      </c>
      <c r="CN7" s="18">
        <f t="shared" si="9"/>
        <v>3255587</v>
      </c>
      <c r="CO7" s="18">
        <f t="shared" si="10"/>
        <v>586005.66</v>
      </c>
      <c r="CP7" s="18">
        <v>1204</v>
      </c>
      <c r="CQ7" s="18">
        <f t="shared" si="11"/>
        <v>587210</v>
      </c>
      <c r="CR7" s="18">
        <f>42600+2100+69900+3850</f>
        <v>118450</v>
      </c>
      <c r="CS7" s="14">
        <v>46131</v>
      </c>
      <c r="CT7" s="13" t="s">
        <v>110</v>
      </c>
      <c r="CU7" s="13" t="s">
        <v>156</v>
      </c>
    </row>
    <row r="8" spans="1:100" s="13" customFormat="1" ht="208.5" customHeight="1">
      <c r="A8" s="12" t="s">
        <v>95</v>
      </c>
      <c r="B8" s="13" t="str">
        <f t="shared" si="12"/>
        <v>202893</v>
      </c>
      <c r="C8" s="13" t="s">
        <v>96</v>
      </c>
      <c r="D8" s="13" t="s">
        <v>97</v>
      </c>
      <c r="E8" s="13" t="s">
        <v>157</v>
      </c>
      <c r="F8" s="14">
        <v>46126</v>
      </c>
      <c r="G8" s="14">
        <f t="shared" si="2"/>
        <v>46139</v>
      </c>
      <c r="H8" s="15" t="s">
        <v>99</v>
      </c>
      <c r="I8" s="15" t="s">
        <v>100</v>
      </c>
      <c r="J8" s="15" t="s">
        <v>100</v>
      </c>
      <c r="K8" s="14">
        <v>46163</v>
      </c>
      <c r="L8" s="13">
        <v>1620020905</v>
      </c>
      <c r="M8" s="13">
        <f t="shared" si="13"/>
        <v>1</v>
      </c>
      <c r="N8" s="14">
        <v>46062</v>
      </c>
      <c r="O8" s="27" t="s">
        <v>101</v>
      </c>
      <c r="P8" s="16" t="s">
        <v>102</v>
      </c>
      <c r="Q8" s="17" t="s">
        <v>158</v>
      </c>
      <c r="R8" s="16" t="s">
        <v>159</v>
      </c>
      <c r="S8" s="19" t="s">
        <v>160</v>
      </c>
      <c r="T8" s="13">
        <f>2+0.5+0.7+9+10</f>
        <v>22.2</v>
      </c>
      <c r="U8" s="18">
        <f>((2*1900)+(0.5*4200)+(0.7*5050)+(9*2825)+(10*2500))/22.2</f>
        <v>2696.3963963963965</v>
      </c>
      <c r="V8" s="18">
        <f t="shared" si="3"/>
        <v>59860</v>
      </c>
      <c r="W8" s="18">
        <f>+V8*0%</f>
        <v>0</v>
      </c>
      <c r="X8" s="18">
        <f t="shared" si="4"/>
        <v>59860</v>
      </c>
      <c r="Y8" s="28">
        <v>8110044706</v>
      </c>
      <c r="Z8" s="14">
        <v>46118</v>
      </c>
      <c r="AA8" s="13" t="s">
        <v>161</v>
      </c>
      <c r="AB8" s="13">
        <v>23.722000000000001</v>
      </c>
      <c r="AC8" s="13" t="s">
        <v>110</v>
      </c>
      <c r="AD8" s="13" t="s">
        <v>110</v>
      </c>
      <c r="AE8" s="13" t="s">
        <v>110</v>
      </c>
      <c r="AF8" s="13" t="s">
        <v>110</v>
      </c>
      <c r="AG8" s="13" t="s">
        <v>110</v>
      </c>
      <c r="AH8" s="13" t="s">
        <v>110</v>
      </c>
      <c r="AI8" s="13" t="s">
        <v>110</v>
      </c>
      <c r="AJ8" s="13" t="s">
        <v>110</v>
      </c>
      <c r="AK8" s="13">
        <v>23722</v>
      </c>
      <c r="AL8" s="16" t="s">
        <v>162</v>
      </c>
      <c r="AM8" s="13" t="s">
        <v>112</v>
      </c>
      <c r="AN8" s="21" t="s">
        <v>163</v>
      </c>
      <c r="AO8" s="13" t="s">
        <v>164</v>
      </c>
      <c r="AP8" s="13" t="s">
        <v>115</v>
      </c>
      <c r="AQ8" s="13" t="s">
        <v>165</v>
      </c>
      <c r="AR8" s="13" t="s">
        <v>165</v>
      </c>
      <c r="AS8" s="16" t="s">
        <v>166</v>
      </c>
      <c r="AT8" s="13" t="s">
        <v>117</v>
      </c>
      <c r="AU8" s="13" t="s">
        <v>167</v>
      </c>
      <c r="AV8" s="13" t="s">
        <v>119</v>
      </c>
      <c r="AW8" s="18">
        <v>800</v>
      </c>
      <c r="AX8" s="13" t="s">
        <v>168</v>
      </c>
      <c r="AY8" s="13">
        <v>9000099689</v>
      </c>
      <c r="AZ8" s="14">
        <v>46162</v>
      </c>
      <c r="BA8" s="18">
        <f>2.416+0.666+1.43+9.61+9.6</f>
        <v>23.722000000000001</v>
      </c>
      <c r="BB8" s="18">
        <f>((2.416*1900)+(0.666*4200)+(1.43*5050)+(9.61*2825)+(9.6*2500))/23.722</f>
        <v>2771.9985667313044</v>
      </c>
      <c r="BC8" s="18">
        <v>0</v>
      </c>
      <c r="BD8" s="18">
        <v>94.827500000000001</v>
      </c>
      <c r="BE8" s="18">
        <f t="shared" si="15"/>
        <v>65757.350000000006</v>
      </c>
      <c r="BF8" s="18">
        <v>0</v>
      </c>
      <c r="BG8" s="14" t="s">
        <v>110</v>
      </c>
      <c r="BH8" s="20">
        <f t="shared" ref="BH8:BH19" si="16">_xlfn.NUMBERVALUE(BE8)</f>
        <v>65757.350000000006</v>
      </c>
      <c r="BI8" s="24">
        <f t="shared" si="5"/>
        <v>6444220.3000000007</v>
      </c>
      <c r="BJ8" s="18">
        <f>BH8</f>
        <v>65757.350000000006</v>
      </c>
      <c r="BK8" s="24">
        <f t="shared" si="6"/>
        <v>7585237.4051564876</v>
      </c>
      <c r="BL8" s="18">
        <f t="shared" si="7"/>
        <v>6235605.107125001</v>
      </c>
      <c r="BM8" s="22">
        <v>46196</v>
      </c>
      <c r="BN8" s="18">
        <v>0</v>
      </c>
      <c r="BO8" s="18">
        <v>0</v>
      </c>
      <c r="BP8" s="18"/>
      <c r="BQ8" s="18">
        <f>3230.4+10735.61</f>
        <v>13966.01</v>
      </c>
      <c r="BR8" s="13" t="s">
        <v>122</v>
      </c>
      <c r="BS8" s="13" t="s">
        <v>169</v>
      </c>
      <c r="BT8" s="13" t="s">
        <v>124</v>
      </c>
      <c r="BU8" s="16" t="s">
        <v>170</v>
      </c>
      <c r="BV8" s="16" t="s">
        <v>126</v>
      </c>
      <c r="BW8" s="13" t="s">
        <v>127</v>
      </c>
      <c r="BX8" s="13" t="s">
        <v>171</v>
      </c>
      <c r="BY8" s="13" t="s">
        <v>124</v>
      </c>
      <c r="BZ8" s="23">
        <f>1198+6500+17000+4400+3600</f>
        <v>32698</v>
      </c>
      <c r="CA8" s="18" t="s">
        <v>130</v>
      </c>
      <c r="CB8" s="22" t="s">
        <v>110</v>
      </c>
      <c r="CC8" s="22" t="s">
        <v>110</v>
      </c>
      <c r="CD8" s="18">
        <v>0</v>
      </c>
      <c r="CE8" s="13" t="s">
        <v>110</v>
      </c>
      <c r="CF8" s="13" t="s">
        <v>110</v>
      </c>
      <c r="CG8" s="13">
        <v>2004733</v>
      </c>
      <c r="CH8" s="13" t="s">
        <v>172</v>
      </c>
      <c r="CI8" s="24">
        <v>95.3</v>
      </c>
      <c r="CJ8" s="24">
        <f t="shared" si="8"/>
        <v>1141017.1051564866</v>
      </c>
      <c r="CK8" s="24">
        <v>65757.350000000006</v>
      </c>
      <c r="CL8" s="24">
        <f t="shared" si="14"/>
        <v>6266675</v>
      </c>
      <c r="CM8" s="18">
        <v>0</v>
      </c>
      <c r="CN8" s="18">
        <f t="shared" si="9"/>
        <v>6266675</v>
      </c>
      <c r="CO8" s="18">
        <f t="shared" si="10"/>
        <v>1128001.5</v>
      </c>
      <c r="CP8" s="18">
        <v>0</v>
      </c>
      <c r="CQ8" s="18">
        <f t="shared" si="11"/>
        <v>1128002</v>
      </c>
      <c r="CR8" s="18">
        <f>19700+700+34200+7400</f>
        <v>62000</v>
      </c>
      <c r="CS8" s="14">
        <v>46201</v>
      </c>
      <c r="CT8" s="13" t="s">
        <v>110</v>
      </c>
      <c r="CU8" s="13" t="s">
        <v>173</v>
      </c>
      <c r="CV8" s="29"/>
    </row>
    <row r="9" spans="1:100" s="13" customFormat="1" ht="72">
      <c r="A9" s="12" t="s">
        <v>95</v>
      </c>
      <c r="B9" s="13" t="str">
        <f t="shared" si="12"/>
        <v>084785</v>
      </c>
      <c r="C9" s="13" t="s">
        <v>96</v>
      </c>
      <c r="D9" s="13" t="s">
        <v>97</v>
      </c>
      <c r="E9" s="13" t="s">
        <v>174</v>
      </c>
      <c r="F9" s="14">
        <v>46125</v>
      </c>
      <c r="G9" s="14">
        <f t="shared" si="2"/>
        <v>46138</v>
      </c>
      <c r="H9" s="15" t="s">
        <v>99</v>
      </c>
      <c r="I9" s="15" t="s">
        <v>100</v>
      </c>
      <c r="J9" s="15" t="s">
        <v>100</v>
      </c>
      <c r="K9" s="14">
        <v>46114</v>
      </c>
      <c r="L9" s="13">
        <v>1620020936</v>
      </c>
      <c r="M9" s="13">
        <f t="shared" si="13"/>
        <v>3</v>
      </c>
      <c r="N9" s="14">
        <v>46069</v>
      </c>
      <c r="O9" s="27" t="s">
        <v>101</v>
      </c>
      <c r="P9" s="16" t="s">
        <v>102</v>
      </c>
      <c r="Q9" s="17" t="s">
        <v>143</v>
      </c>
      <c r="R9" s="16" t="s">
        <v>144</v>
      </c>
      <c r="S9" s="13" t="s">
        <v>105</v>
      </c>
      <c r="T9" s="13">
        <v>200</v>
      </c>
      <c r="U9" s="18">
        <v>525</v>
      </c>
      <c r="V9" s="18">
        <f t="shared" si="3"/>
        <v>105000</v>
      </c>
      <c r="W9" s="18">
        <f>+V9*0%</f>
        <v>0</v>
      </c>
      <c r="X9" s="18">
        <f t="shared" si="4"/>
        <v>105000</v>
      </c>
      <c r="Y9" s="19" t="s">
        <v>175</v>
      </c>
      <c r="Z9" s="14">
        <v>46079</v>
      </c>
      <c r="AA9" s="13" t="s">
        <v>176</v>
      </c>
      <c r="AB9" s="13">
        <v>20.89</v>
      </c>
      <c r="AC9" s="13" t="s">
        <v>177</v>
      </c>
      <c r="AD9" s="13">
        <v>21.22</v>
      </c>
      <c r="AE9" s="13" t="s">
        <v>178</v>
      </c>
      <c r="AF9" s="13">
        <v>22.27</v>
      </c>
      <c r="AG9" s="13" t="s">
        <v>110</v>
      </c>
      <c r="AH9" s="13" t="s">
        <v>110</v>
      </c>
      <c r="AI9" s="13" t="s">
        <v>110</v>
      </c>
      <c r="AJ9" s="13" t="s">
        <v>110</v>
      </c>
      <c r="AK9" s="13">
        <v>64380</v>
      </c>
      <c r="AL9" s="13" t="s">
        <v>111</v>
      </c>
      <c r="AM9" s="13" t="s">
        <v>112</v>
      </c>
      <c r="AN9" s="21" t="s">
        <v>179</v>
      </c>
      <c r="AO9" s="16" t="s">
        <v>150</v>
      </c>
      <c r="AP9" s="13" t="s">
        <v>115</v>
      </c>
      <c r="AQ9" s="13" t="s">
        <v>116</v>
      </c>
      <c r="AR9" s="13" t="s">
        <v>116</v>
      </c>
      <c r="AS9" s="13">
        <v>72044900</v>
      </c>
      <c r="AT9" s="13" t="s">
        <v>117</v>
      </c>
      <c r="AU9" s="13" t="s">
        <v>180</v>
      </c>
      <c r="AV9" s="13" t="s">
        <v>119</v>
      </c>
      <c r="AW9" s="18">
        <v>800</v>
      </c>
      <c r="AX9" s="13" t="s">
        <v>181</v>
      </c>
      <c r="AY9" s="16" t="s">
        <v>182</v>
      </c>
      <c r="AZ9" s="14">
        <v>46114</v>
      </c>
      <c r="BA9" s="18">
        <f>22.27+20.89+21.22</f>
        <v>64.38</v>
      </c>
      <c r="BB9" s="18">
        <v>525</v>
      </c>
      <c r="BC9" s="18">
        <v>0</v>
      </c>
      <c r="BD9" s="23">
        <v>92.92</v>
      </c>
      <c r="BE9" s="18">
        <f t="shared" si="15"/>
        <v>33799.5</v>
      </c>
      <c r="BF9" s="18">
        <v>0</v>
      </c>
      <c r="BG9" s="14" t="s">
        <v>110</v>
      </c>
      <c r="BH9" s="20">
        <f t="shared" si="16"/>
        <v>33799.5</v>
      </c>
      <c r="BI9" s="24">
        <f t="shared" si="5"/>
        <v>3312351</v>
      </c>
      <c r="BJ9" s="18">
        <f t="shared" ref="BJ9:BJ73" si="17">BH9</f>
        <v>33799.5</v>
      </c>
      <c r="BK9" s="24">
        <f t="shared" si="6"/>
        <v>3915281.690775</v>
      </c>
      <c r="BL9" s="18">
        <f t="shared" si="7"/>
        <v>3140649.54</v>
      </c>
      <c r="BM9" s="22">
        <v>46121</v>
      </c>
      <c r="BN9" s="18">
        <v>0</v>
      </c>
      <c r="BO9" s="18">
        <v>0</v>
      </c>
      <c r="BP9" s="18">
        <v>0</v>
      </c>
      <c r="BQ9" s="18">
        <v>2673.32</v>
      </c>
      <c r="BR9" s="13" t="s">
        <v>122</v>
      </c>
      <c r="BS9" s="13" t="s">
        <v>169</v>
      </c>
      <c r="BT9" s="13" t="s">
        <v>124</v>
      </c>
      <c r="BU9" s="13" t="s">
        <v>154</v>
      </c>
      <c r="BV9" s="13" t="s">
        <v>126</v>
      </c>
      <c r="BW9" s="13" t="s">
        <v>127</v>
      </c>
      <c r="BX9" s="13" t="s">
        <v>183</v>
      </c>
      <c r="BY9" s="13" t="s">
        <v>129</v>
      </c>
      <c r="BZ9" s="18">
        <f>37500+1797+10500+1800+510+1500+5400+3000</f>
        <v>62007</v>
      </c>
      <c r="CA9" s="18" t="s">
        <v>130</v>
      </c>
      <c r="CB9" s="13" t="s">
        <v>110</v>
      </c>
      <c r="CC9" s="14" t="s">
        <v>110</v>
      </c>
      <c r="CD9" s="18">
        <v>0</v>
      </c>
      <c r="CE9" s="13" t="s">
        <v>110</v>
      </c>
      <c r="CF9" s="13" t="s">
        <v>110</v>
      </c>
      <c r="CG9" s="13">
        <v>8575950</v>
      </c>
      <c r="CH9" s="13" t="s">
        <v>100</v>
      </c>
      <c r="CI9" s="26">
        <v>94.2</v>
      </c>
      <c r="CJ9" s="24">
        <f t="shared" si="8"/>
        <v>602930.69077500002</v>
      </c>
      <c r="CK9" s="24">
        <v>33799.5</v>
      </c>
      <c r="CL9" s="24">
        <f t="shared" si="14"/>
        <v>3183913</v>
      </c>
      <c r="CM9" s="18">
        <v>0</v>
      </c>
      <c r="CN9" s="18">
        <f t="shared" si="9"/>
        <v>3183913</v>
      </c>
      <c r="CO9" s="18">
        <f t="shared" si="10"/>
        <v>573104.34</v>
      </c>
      <c r="CP9" s="18">
        <v>938</v>
      </c>
      <c r="CQ9" s="18">
        <f t="shared" si="11"/>
        <v>574042</v>
      </c>
      <c r="CR9" s="18">
        <f>42600+2100+99900+3750</f>
        <v>148350</v>
      </c>
      <c r="CS9" s="14">
        <v>46130</v>
      </c>
      <c r="CT9" s="13" t="s">
        <v>110</v>
      </c>
      <c r="CU9" s="13" t="s">
        <v>184</v>
      </c>
    </row>
    <row r="10" spans="1:100" s="13" customFormat="1" ht="100.8">
      <c r="A10" s="12" t="s">
        <v>95</v>
      </c>
      <c r="B10" s="13" t="str">
        <f t="shared" si="12"/>
        <v>084781</v>
      </c>
      <c r="C10" s="13" t="s">
        <v>96</v>
      </c>
      <c r="D10" s="13" t="s">
        <v>97</v>
      </c>
      <c r="E10" s="13" t="s">
        <v>185</v>
      </c>
      <c r="F10" s="30">
        <v>46125</v>
      </c>
      <c r="G10" s="14">
        <f t="shared" si="2"/>
        <v>46138</v>
      </c>
      <c r="H10" s="15" t="s">
        <v>99</v>
      </c>
      <c r="I10" s="15" t="s">
        <v>100</v>
      </c>
      <c r="J10" s="15" t="s">
        <v>100</v>
      </c>
      <c r="K10" s="14">
        <v>46114</v>
      </c>
      <c r="L10" s="13">
        <v>1620020960</v>
      </c>
      <c r="M10" s="13">
        <f t="shared" si="13"/>
        <v>4</v>
      </c>
      <c r="N10" s="14">
        <v>46071</v>
      </c>
      <c r="O10" s="27" t="s">
        <v>101</v>
      </c>
      <c r="P10" s="16" t="s">
        <v>102</v>
      </c>
      <c r="Q10" s="17" t="s">
        <v>143</v>
      </c>
      <c r="R10" s="16" t="s">
        <v>186</v>
      </c>
      <c r="S10" s="13" t="s">
        <v>105</v>
      </c>
      <c r="T10" s="13">
        <v>100</v>
      </c>
      <c r="U10" s="18">
        <v>510</v>
      </c>
      <c r="V10" s="18">
        <f t="shared" si="3"/>
        <v>51000</v>
      </c>
      <c r="W10" s="18">
        <f>+V10*0%</f>
        <v>0</v>
      </c>
      <c r="X10" s="18">
        <f t="shared" si="4"/>
        <v>51000</v>
      </c>
      <c r="Y10" s="19" t="s">
        <v>187</v>
      </c>
      <c r="Z10" s="14">
        <v>46079</v>
      </c>
      <c r="AA10" s="13" t="s">
        <v>188</v>
      </c>
      <c r="AB10" s="13">
        <v>25.62</v>
      </c>
      <c r="AC10" s="13" t="s">
        <v>189</v>
      </c>
      <c r="AD10" s="13">
        <v>22.85</v>
      </c>
      <c r="AE10" s="13" t="s">
        <v>190</v>
      </c>
      <c r="AF10" s="13">
        <v>23.82</v>
      </c>
      <c r="AG10" s="13" t="s">
        <v>191</v>
      </c>
      <c r="AH10" s="13">
        <v>22.6</v>
      </c>
      <c r="AI10" s="13" t="s">
        <v>110</v>
      </c>
      <c r="AJ10" s="13" t="s">
        <v>110</v>
      </c>
      <c r="AK10" s="13">
        <v>94890</v>
      </c>
      <c r="AL10" s="13" t="s">
        <v>192</v>
      </c>
      <c r="AM10" s="13" t="s">
        <v>112</v>
      </c>
      <c r="AN10" s="21" t="s">
        <v>193</v>
      </c>
      <c r="AO10" s="16" t="s">
        <v>150</v>
      </c>
      <c r="AP10" s="13" t="s">
        <v>115</v>
      </c>
      <c r="AQ10" s="13" t="s">
        <v>116</v>
      </c>
      <c r="AR10" s="13" t="s">
        <v>116</v>
      </c>
      <c r="AS10" s="13">
        <v>72044900</v>
      </c>
      <c r="AT10" s="13" t="s">
        <v>117</v>
      </c>
      <c r="AU10" s="13" t="s">
        <v>194</v>
      </c>
      <c r="AV10" s="13" t="s">
        <v>119</v>
      </c>
      <c r="AW10" s="18">
        <v>800</v>
      </c>
      <c r="AX10" s="13" t="s">
        <v>195</v>
      </c>
      <c r="AY10" s="16" t="s">
        <v>196</v>
      </c>
      <c r="AZ10" s="14">
        <v>46114</v>
      </c>
      <c r="BA10" s="18">
        <f>25.62+22.85+23.82+22.6</f>
        <v>94.889999999999986</v>
      </c>
      <c r="BB10" s="18">
        <v>510</v>
      </c>
      <c r="BC10" s="18">
        <v>0</v>
      </c>
      <c r="BD10" s="18">
        <v>93.525000000000006</v>
      </c>
      <c r="BE10" s="18">
        <f t="shared" si="15"/>
        <v>48393.899999999994</v>
      </c>
      <c r="BF10" s="18">
        <v>0</v>
      </c>
      <c r="BG10" s="20" t="s">
        <v>110</v>
      </c>
      <c r="BH10" s="20">
        <f t="shared" si="16"/>
        <v>48393.9</v>
      </c>
      <c r="BI10" s="24">
        <f t="shared" si="5"/>
        <v>4742602.2</v>
      </c>
      <c r="BJ10" s="18">
        <f t="shared" si="17"/>
        <v>48393.9</v>
      </c>
      <c r="BK10" s="24">
        <f t="shared" si="6"/>
        <v>5605874.3654549997</v>
      </c>
      <c r="BL10" s="18">
        <f t="shared" si="7"/>
        <v>4526039.4974999996</v>
      </c>
      <c r="BM10" s="22">
        <v>46127</v>
      </c>
      <c r="BN10" s="18">
        <v>0</v>
      </c>
      <c r="BO10" s="18">
        <v>0</v>
      </c>
      <c r="BP10" s="18">
        <v>0</v>
      </c>
      <c r="BQ10" s="18">
        <v>2922.68</v>
      </c>
      <c r="BR10" s="13" t="s">
        <v>122</v>
      </c>
      <c r="BS10" s="13" t="s">
        <v>169</v>
      </c>
      <c r="BT10" s="13" t="s">
        <v>124</v>
      </c>
      <c r="BU10" s="13" t="s">
        <v>154</v>
      </c>
      <c r="BV10" s="13" t="s">
        <v>126</v>
      </c>
      <c r="BW10" s="13" t="s">
        <v>127</v>
      </c>
      <c r="BX10" s="13" t="s">
        <v>197</v>
      </c>
      <c r="BY10" s="13" t="s">
        <v>129</v>
      </c>
      <c r="BZ10" s="18">
        <f>50000+2396+14000+2400+680+2000+5400+4000</f>
        <v>80876</v>
      </c>
      <c r="CA10" s="18" t="s">
        <v>130</v>
      </c>
      <c r="CB10" s="13" t="s">
        <v>110</v>
      </c>
      <c r="CC10" s="14" t="s">
        <v>110</v>
      </c>
      <c r="CD10" s="18">
        <v>0</v>
      </c>
      <c r="CE10" s="13" t="s">
        <v>110</v>
      </c>
      <c r="CF10" s="13" t="s">
        <v>110</v>
      </c>
      <c r="CG10" s="13">
        <v>8575954</v>
      </c>
      <c r="CH10" s="13" t="s">
        <v>100</v>
      </c>
      <c r="CI10" s="26">
        <v>93.8</v>
      </c>
      <c r="CJ10" s="24">
        <f t="shared" si="8"/>
        <v>863272.16545500001</v>
      </c>
      <c r="CK10" s="24">
        <v>48393.9</v>
      </c>
      <c r="CL10" s="24">
        <f t="shared" si="14"/>
        <v>4539348</v>
      </c>
      <c r="CM10" s="18">
        <v>0</v>
      </c>
      <c r="CN10" s="18">
        <f t="shared" si="9"/>
        <v>4539348</v>
      </c>
      <c r="CO10" s="18">
        <f t="shared" si="10"/>
        <v>817082.64</v>
      </c>
      <c r="CP10" s="18">
        <v>2351</v>
      </c>
      <c r="CQ10" s="18">
        <f t="shared" si="11"/>
        <v>819434</v>
      </c>
      <c r="CR10" s="18">
        <f>56800+2800+93200+5360</f>
        <v>158160</v>
      </c>
      <c r="CS10" s="14">
        <v>46131</v>
      </c>
      <c r="CT10" s="13" t="s">
        <v>110</v>
      </c>
      <c r="CU10" s="13" t="s">
        <v>198</v>
      </c>
    </row>
    <row r="11" spans="1:100" s="13" customFormat="1" ht="57.6">
      <c r="A11" s="12" t="s">
        <v>95</v>
      </c>
      <c r="B11" s="13" t="str">
        <f t="shared" si="12"/>
        <v>252627</v>
      </c>
      <c r="C11" s="13" t="s">
        <v>96</v>
      </c>
      <c r="D11" s="13" t="s">
        <v>97</v>
      </c>
      <c r="E11" s="13" t="s">
        <v>199</v>
      </c>
      <c r="F11" s="14">
        <v>46153</v>
      </c>
      <c r="G11" s="14">
        <f t="shared" si="2"/>
        <v>46166</v>
      </c>
      <c r="H11" s="15" t="s">
        <v>99</v>
      </c>
      <c r="I11" s="15" t="s">
        <v>100</v>
      </c>
      <c r="J11" s="15" t="s">
        <v>100</v>
      </c>
      <c r="K11" s="14">
        <v>46145</v>
      </c>
      <c r="L11" s="13">
        <v>1620020993</v>
      </c>
      <c r="M11" s="13">
        <f t="shared" si="13"/>
        <v>1</v>
      </c>
      <c r="N11" s="14">
        <v>46089</v>
      </c>
      <c r="O11" s="27" t="s">
        <v>101</v>
      </c>
      <c r="P11" s="16" t="s">
        <v>102</v>
      </c>
      <c r="Q11" s="17" t="s">
        <v>200</v>
      </c>
      <c r="R11" s="16" t="s">
        <v>201</v>
      </c>
      <c r="S11" s="19" t="s">
        <v>202</v>
      </c>
      <c r="T11" s="13">
        <v>20</v>
      </c>
      <c r="U11" s="18">
        <f>(18600+20200)/20</f>
        <v>1940</v>
      </c>
      <c r="V11" s="18">
        <f t="shared" si="3"/>
        <v>38800</v>
      </c>
      <c r="W11" s="18">
        <v>0</v>
      </c>
      <c r="X11" s="18">
        <f t="shared" si="4"/>
        <v>38800</v>
      </c>
      <c r="Y11" s="28">
        <v>8110045082</v>
      </c>
      <c r="Z11" s="14">
        <v>46095</v>
      </c>
      <c r="AA11" s="13" t="s">
        <v>203</v>
      </c>
      <c r="AB11" s="13">
        <f>14.14+7</f>
        <v>21.14</v>
      </c>
      <c r="AC11" s="13" t="s">
        <v>110</v>
      </c>
      <c r="AD11" s="13" t="s">
        <v>110</v>
      </c>
      <c r="AE11" s="13" t="s">
        <v>110</v>
      </c>
      <c r="AF11" s="13" t="s">
        <v>110</v>
      </c>
      <c r="AG11" s="13" t="s">
        <v>110</v>
      </c>
      <c r="AH11" s="13" t="s">
        <v>110</v>
      </c>
      <c r="AI11" s="13" t="s">
        <v>110</v>
      </c>
      <c r="AJ11" s="13" t="s">
        <v>110</v>
      </c>
      <c r="AK11" s="13">
        <v>21140</v>
      </c>
      <c r="AL11" s="13" t="s">
        <v>204</v>
      </c>
      <c r="AM11" s="13" t="s">
        <v>112</v>
      </c>
      <c r="AN11" s="21" t="s">
        <v>205</v>
      </c>
      <c r="AO11" s="16" t="s">
        <v>206</v>
      </c>
      <c r="AP11" s="13" t="s">
        <v>115</v>
      </c>
      <c r="AQ11" s="13" t="s">
        <v>116</v>
      </c>
      <c r="AR11" s="13" t="s">
        <v>116</v>
      </c>
      <c r="AS11" s="13">
        <v>72042190</v>
      </c>
      <c r="AT11" s="13" t="s">
        <v>117</v>
      </c>
      <c r="AU11" s="13" t="s">
        <v>207</v>
      </c>
      <c r="AV11" s="13" t="s">
        <v>119</v>
      </c>
      <c r="AW11" s="18">
        <v>800</v>
      </c>
      <c r="AX11" s="13" t="s">
        <v>208</v>
      </c>
      <c r="AY11" s="13">
        <v>9000099866</v>
      </c>
      <c r="AZ11" s="14">
        <v>46145</v>
      </c>
      <c r="BA11" s="18">
        <v>21.14</v>
      </c>
      <c r="BB11" s="18">
        <f>((14.14*1550)+(7*2525))/21.14</f>
        <v>1872.8476821192053</v>
      </c>
      <c r="BC11" s="18"/>
      <c r="BD11" s="31">
        <v>96.397499999999994</v>
      </c>
      <c r="BE11" s="18">
        <f t="shared" si="15"/>
        <v>39592</v>
      </c>
      <c r="BF11" s="18">
        <v>0</v>
      </c>
      <c r="BG11" s="20" t="s">
        <v>110</v>
      </c>
      <c r="BH11" s="20">
        <f t="shared" si="16"/>
        <v>39592</v>
      </c>
      <c r="BI11" s="24">
        <f t="shared" si="5"/>
        <v>3880016</v>
      </c>
      <c r="BJ11" s="18">
        <f t="shared" si="17"/>
        <v>39592</v>
      </c>
      <c r="BK11" s="24">
        <f t="shared" si="6"/>
        <v>4611599.3760200003</v>
      </c>
      <c r="BL11" s="18">
        <f t="shared" si="7"/>
        <v>3816569.82</v>
      </c>
      <c r="BM11" s="22">
        <v>46161</v>
      </c>
      <c r="BN11" s="18">
        <v>0</v>
      </c>
      <c r="BO11" s="18">
        <v>0</v>
      </c>
      <c r="BP11" s="18"/>
      <c r="BQ11" s="18">
        <f>8316.57+2794.98</f>
        <v>11111.55</v>
      </c>
      <c r="BR11" s="13" t="s">
        <v>122</v>
      </c>
      <c r="BS11" s="13" t="s">
        <v>169</v>
      </c>
      <c r="BT11" s="13" t="s">
        <v>124</v>
      </c>
      <c r="BU11" s="13" t="s">
        <v>209</v>
      </c>
      <c r="BV11" s="13" t="s">
        <v>126</v>
      </c>
      <c r="BW11" s="13" t="s">
        <v>127</v>
      </c>
      <c r="BX11" s="13" t="s">
        <v>210</v>
      </c>
      <c r="BY11" s="13" t="s">
        <v>124</v>
      </c>
      <c r="BZ11" s="23">
        <f>4500+14500+500+1500+400+2000+500+5000+170+430+1000</f>
        <v>30500</v>
      </c>
      <c r="CA11" s="18" t="s">
        <v>130</v>
      </c>
      <c r="CB11" s="22" t="s">
        <v>211</v>
      </c>
      <c r="CC11" s="22"/>
      <c r="CD11" s="18"/>
      <c r="CE11" s="12">
        <v>7620</v>
      </c>
      <c r="CF11" s="12" t="s">
        <v>131</v>
      </c>
      <c r="CG11" s="12">
        <v>9155733</v>
      </c>
      <c r="CH11" s="13" t="s">
        <v>172</v>
      </c>
      <c r="CI11" s="24">
        <v>95.15</v>
      </c>
      <c r="CJ11" s="24">
        <f t="shared" si="8"/>
        <v>731583.37601999997</v>
      </c>
      <c r="CK11" s="18">
        <v>39592</v>
      </c>
      <c r="CL11" s="24">
        <f t="shared" si="14"/>
        <v>3767179</v>
      </c>
      <c r="CM11" s="18">
        <v>0</v>
      </c>
      <c r="CN11" s="18">
        <f t="shared" si="9"/>
        <v>3767179</v>
      </c>
      <c r="CO11" s="18">
        <f t="shared" si="10"/>
        <v>678092.22</v>
      </c>
      <c r="CP11" s="18">
        <v>0</v>
      </c>
      <c r="CQ11" s="18">
        <f t="shared" si="11"/>
        <v>678092</v>
      </c>
      <c r="CR11" s="18">
        <v>0</v>
      </c>
      <c r="CS11" s="14">
        <v>46165</v>
      </c>
      <c r="CU11" s="13" t="s">
        <v>212</v>
      </c>
    </row>
    <row r="12" spans="1:100" s="13" customFormat="1" ht="43.2">
      <c r="A12" s="12" t="s">
        <v>95</v>
      </c>
      <c r="B12" s="13" t="str">
        <f t="shared" si="12"/>
        <v>503141</v>
      </c>
      <c r="C12" s="13" t="s">
        <v>96</v>
      </c>
      <c r="D12" s="13" t="s">
        <v>97</v>
      </c>
      <c r="E12" s="13">
        <v>265503141</v>
      </c>
      <c r="F12" s="14">
        <v>46149</v>
      </c>
      <c r="G12" s="14">
        <f>F12+13</f>
        <v>46162</v>
      </c>
      <c r="H12" s="15" t="s">
        <v>99</v>
      </c>
      <c r="I12" s="15" t="s">
        <v>100</v>
      </c>
      <c r="J12" s="15" t="s">
        <v>100</v>
      </c>
      <c r="K12" s="14">
        <v>46134</v>
      </c>
      <c r="L12" s="13">
        <v>1620020775</v>
      </c>
      <c r="M12" s="13">
        <f t="shared" si="13"/>
        <v>1</v>
      </c>
      <c r="N12" s="14">
        <v>46041</v>
      </c>
      <c r="O12" s="27" t="s">
        <v>101</v>
      </c>
      <c r="P12" s="16" t="s">
        <v>102</v>
      </c>
      <c r="Q12" s="17" t="s">
        <v>213</v>
      </c>
      <c r="R12" s="16" t="s">
        <v>214</v>
      </c>
      <c r="S12" s="13" t="s">
        <v>215</v>
      </c>
      <c r="T12" s="13">
        <v>200</v>
      </c>
      <c r="U12" s="18">
        <v>430</v>
      </c>
      <c r="V12" s="18">
        <f t="shared" si="3"/>
        <v>86000</v>
      </c>
      <c r="W12" s="18">
        <f>+V12*0%</f>
        <v>0</v>
      </c>
      <c r="X12" s="18">
        <f t="shared" si="4"/>
        <v>86000</v>
      </c>
      <c r="Y12" s="19">
        <v>8110044370</v>
      </c>
      <c r="Z12" s="14">
        <v>46067</v>
      </c>
      <c r="AA12" s="13" t="s">
        <v>216</v>
      </c>
      <c r="AB12" s="13">
        <v>25.65</v>
      </c>
      <c r="AC12" s="13" t="s">
        <v>110</v>
      </c>
      <c r="AD12" s="13" t="s">
        <v>110</v>
      </c>
      <c r="AE12" s="13" t="s">
        <v>110</v>
      </c>
      <c r="AF12" s="13" t="s">
        <v>110</v>
      </c>
      <c r="AG12" s="13" t="s">
        <v>110</v>
      </c>
      <c r="AH12" s="13" t="s">
        <v>110</v>
      </c>
      <c r="AI12" s="13" t="s">
        <v>110</v>
      </c>
      <c r="AJ12" s="13" t="s">
        <v>110</v>
      </c>
      <c r="AK12" s="13">
        <v>25650</v>
      </c>
      <c r="AL12" s="13" t="s">
        <v>217</v>
      </c>
      <c r="AM12" s="13" t="s">
        <v>112</v>
      </c>
      <c r="AN12" s="21" t="s">
        <v>218</v>
      </c>
      <c r="AO12" s="13" t="s">
        <v>219</v>
      </c>
      <c r="AP12" s="13" t="s">
        <v>115</v>
      </c>
      <c r="AQ12" s="13" t="s">
        <v>116</v>
      </c>
      <c r="AR12" s="13" t="s">
        <v>116</v>
      </c>
      <c r="AS12" s="13">
        <v>72044900</v>
      </c>
      <c r="AT12" s="13" t="s">
        <v>117</v>
      </c>
      <c r="AU12" s="13" t="s">
        <v>220</v>
      </c>
      <c r="AV12" s="13" t="s">
        <v>119</v>
      </c>
      <c r="AW12" s="18">
        <v>800</v>
      </c>
      <c r="AX12" s="13" t="s">
        <v>221</v>
      </c>
      <c r="AY12" s="13">
        <v>9000099415</v>
      </c>
      <c r="AZ12" s="14">
        <v>46133</v>
      </c>
      <c r="BA12" s="18">
        <v>25.65</v>
      </c>
      <c r="BB12" s="18">
        <v>430</v>
      </c>
      <c r="BC12" s="18">
        <v>0</v>
      </c>
      <c r="BD12" s="18">
        <v>95.43</v>
      </c>
      <c r="BE12" s="18">
        <f t="shared" si="15"/>
        <v>11029.5</v>
      </c>
      <c r="BF12" s="18">
        <v>0</v>
      </c>
      <c r="BG12" s="14" t="s">
        <v>110</v>
      </c>
      <c r="BH12" s="20">
        <f t="shared" si="16"/>
        <v>11029.5</v>
      </c>
      <c r="BI12" s="24">
        <f t="shared" si="5"/>
        <v>1080891</v>
      </c>
      <c r="BJ12" s="18">
        <f t="shared" si="17"/>
        <v>11029.5</v>
      </c>
      <c r="BK12" s="24">
        <f t="shared" si="6"/>
        <v>1277640.1842749999</v>
      </c>
      <c r="BL12" s="18">
        <f t="shared" si="7"/>
        <v>1052545.1850000001</v>
      </c>
      <c r="BM12" s="22">
        <v>46154</v>
      </c>
      <c r="BN12" s="18" t="s">
        <v>110</v>
      </c>
      <c r="BO12" s="18" t="s">
        <v>110</v>
      </c>
      <c r="BP12" s="18"/>
      <c r="BQ12" s="18">
        <f>5552.55+2297.46</f>
        <v>7850.01</v>
      </c>
      <c r="BR12" s="13" t="s">
        <v>122</v>
      </c>
      <c r="BS12" s="13" t="s">
        <v>169</v>
      </c>
      <c r="BT12" s="13" t="s">
        <v>124</v>
      </c>
      <c r="BU12" s="13" t="s">
        <v>222</v>
      </c>
      <c r="BV12" s="13" t="s">
        <v>126</v>
      </c>
      <c r="BW12" s="13" t="s">
        <v>127</v>
      </c>
      <c r="BX12" s="13" t="s">
        <v>223</v>
      </c>
      <c r="BY12" s="13" t="s">
        <v>124</v>
      </c>
      <c r="BZ12" s="18">
        <f>3000+6710+10537</f>
        <v>20247</v>
      </c>
      <c r="CA12" s="18" t="s">
        <v>130</v>
      </c>
      <c r="CB12" s="22" t="s">
        <v>110</v>
      </c>
      <c r="CC12" s="14" t="s">
        <v>110</v>
      </c>
      <c r="CD12" s="18">
        <v>0</v>
      </c>
      <c r="CE12" s="13" t="s">
        <v>124</v>
      </c>
      <c r="CF12" s="13" t="s">
        <v>124</v>
      </c>
      <c r="CG12" s="13">
        <v>9081574</v>
      </c>
      <c r="CH12" s="13" t="s">
        <v>100</v>
      </c>
      <c r="CI12" s="18">
        <v>94.2</v>
      </c>
      <c r="CJ12" s="24">
        <f t="shared" si="8"/>
        <v>196749.18427499998</v>
      </c>
      <c r="CK12" s="18">
        <v>11029.5</v>
      </c>
      <c r="CL12" s="24">
        <f t="shared" si="14"/>
        <v>1038979</v>
      </c>
      <c r="CM12" s="18">
        <v>0</v>
      </c>
      <c r="CN12" s="18">
        <f t="shared" si="9"/>
        <v>1038979</v>
      </c>
      <c r="CO12" s="18">
        <f t="shared" si="10"/>
        <v>187016.22</v>
      </c>
      <c r="CP12" s="18">
        <v>538</v>
      </c>
      <c r="CQ12" s="18">
        <f t="shared" si="11"/>
        <v>187554</v>
      </c>
      <c r="CR12" s="18">
        <f>13200+700+24300+1230</f>
        <v>39430</v>
      </c>
      <c r="CS12" s="14">
        <v>46157</v>
      </c>
      <c r="CT12" s="13" t="s">
        <v>110</v>
      </c>
      <c r="CU12" s="13" t="s">
        <v>224</v>
      </c>
    </row>
    <row r="13" spans="1:100" s="13" customFormat="1" ht="43.2">
      <c r="A13" s="12" t="s">
        <v>95</v>
      </c>
      <c r="B13" s="13" t="str">
        <f t="shared" si="12"/>
        <v>302627</v>
      </c>
      <c r="C13" s="13" t="s">
        <v>96</v>
      </c>
      <c r="D13" s="13" t="s">
        <v>97</v>
      </c>
      <c r="E13" s="13" t="s">
        <v>225</v>
      </c>
      <c r="F13" s="14">
        <v>46153</v>
      </c>
      <c r="G13" s="14">
        <f>F13+13</f>
        <v>46166</v>
      </c>
      <c r="H13" s="15" t="s">
        <v>99</v>
      </c>
      <c r="I13" s="15" t="s">
        <v>100</v>
      </c>
      <c r="J13" s="15" t="s">
        <v>100</v>
      </c>
      <c r="K13" s="14">
        <v>46145</v>
      </c>
      <c r="L13" s="13">
        <v>1620021014</v>
      </c>
      <c r="M13" s="13">
        <f t="shared" si="13"/>
        <v>1</v>
      </c>
      <c r="N13" s="14">
        <v>46097</v>
      </c>
      <c r="O13" s="27" t="s">
        <v>101</v>
      </c>
      <c r="P13" s="16" t="s">
        <v>102</v>
      </c>
      <c r="Q13" s="32" t="s">
        <v>226</v>
      </c>
      <c r="R13" s="16" t="s">
        <v>227</v>
      </c>
      <c r="S13" s="13" t="s">
        <v>228</v>
      </c>
      <c r="T13" s="18">
        <v>50</v>
      </c>
      <c r="U13" s="18">
        <v>2530</v>
      </c>
      <c r="V13" s="18">
        <f t="shared" si="3"/>
        <v>126500</v>
      </c>
      <c r="W13" s="18">
        <v>0</v>
      </c>
      <c r="X13" s="18">
        <f t="shared" si="4"/>
        <v>126500</v>
      </c>
      <c r="Y13" s="13">
        <v>8110045119</v>
      </c>
      <c r="Z13" s="14">
        <v>46103</v>
      </c>
      <c r="AA13" s="13" t="s">
        <v>229</v>
      </c>
      <c r="AB13" s="13">
        <v>24.54</v>
      </c>
      <c r="AC13" s="13" t="s">
        <v>110</v>
      </c>
      <c r="AD13" s="13" t="s">
        <v>110</v>
      </c>
      <c r="AE13" s="13" t="s">
        <v>110</v>
      </c>
      <c r="AF13" s="13" t="s">
        <v>110</v>
      </c>
      <c r="AG13" s="13" t="s">
        <v>110</v>
      </c>
      <c r="AH13" s="13" t="s">
        <v>110</v>
      </c>
      <c r="AI13" s="13" t="s">
        <v>110</v>
      </c>
      <c r="AJ13" s="13" t="s">
        <v>110</v>
      </c>
      <c r="AK13" s="13">
        <v>24540</v>
      </c>
      <c r="AL13" s="13" t="s">
        <v>110</v>
      </c>
      <c r="AM13" s="13" t="s">
        <v>112</v>
      </c>
      <c r="AN13" s="21" t="s">
        <v>230</v>
      </c>
      <c r="AO13" s="16" t="s">
        <v>206</v>
      </c>
      <c r="AP13" s="13" t="s">
        <v>115</v>
      </c>
      <c r="AQ13" s="13" t="s">
        <v>116</v>
      </c>
      <c r="AR13" s="13" t="s">
        <v>116</v>
      </c>
      <c r="AS13" s="13">
        <v>72042190</v>
      </c>
      <c r="AT13" s="13" t="s">
        <v>117</v>
      </c>
      <c r="AU13" s="13" t="s">
        <v>231</v>
      </c>
      <c r="AV13" s="13" t="s">
        <v>119</v>
      </c>
      <c r="AW13" s="18">
        <v>800</v>
      </c>
      <c r="AX13" s="13" t="s">
        <v>232</v>
      </c>
      <c r="AY13" s="13">
        <v>9000099878</v>
      </c>
      <c r="AZ13" s="14">
        <v>46145</v>
      </c>
      <c r="BA13" s="18">
        <v>24.54</v>
      </c>
      <c r="BB13" s="18">
        <v>2530</v>
      </c>
      <c r="BC13" s="24">
        <v>0</v>
      </c>
      <c r="BD13" s="18">
        <v>96.397499999999994</v>
      </c>
      <c r="BE13" s="18">
        <f t="shared" si="15"/>
        <v>62086.2</v>
      </c>
      <c r="BF13" s="18">
        <v>0</v>
      </c>
      <c r="BG13" s="22" t="s">
        <v>110</v>
      </c>
      <c r="BH13" s="20">
        <f t="shared" si="16"/>
        <v>62086.2</v>
      </c>
      <c r="BI13" s="24">
        <f t="shared" si="5"/>
        <v>6084447.5999999996</v>
      </c>
      <c r="BJ13" s="18">
        <f t="shared" si="17"/>
        <v>62086.2</v>
      </c>
      <c r="BK13" s="24">
        <f t="shared" si="6"/>
        <v>7191969.1743899994</v>
      </c>
      <c r="BL13" s="18">
        <f t="shared" si="7"/>
        <v>5984954.4644999998</v>
      </c>
      <c r="BM13" s="22">
        <v>46162</v>
      </c>
      <c r="BN13" s="18">
        <v>0</v>
      </c>
      <c r="BO13" s="18">
        <v>0</v>
      </c>
      <c r="BP13" s="24"/>
      <c r="BQ13" s="18">
        <f>10484.95+3185.3</f>
        <v>13670.25</v>
      </c>
      <c r="BR13" s="13" t="s">
        <v>122</v>
      </c>
      <c r="BS13" s="13" t="s">
        <v>169</v>
      </c>
      <c r="BT13" s="13" t="s">
        <v>124</v>
      </c>
      <c r="BU13" s="13" t="s">
        <v>209</v>
      </c>
      <c r="BV13" s="13" t="s">
        <v>126</v>
      </c>
      <c r="BW13" s="13" t="s">
        <v>127</v>
      </c>
      <c r="BX13" s="13" t="s">
        <v>233</v>
      </c>
      <c r="BY13" s="13" t="s">
        <v>129</v>
      </c>
      <c r="BZ13" s="18">
        <f>4500+14500+500+1500+400+2000+500+5000+170+430+1000</f>
        <v>30500</v>
      </c>
      <c r="CA13" s="18" t="s">
        <v>130</v>
      </c>
      <c r="CB13" s="13" t="s">
        <v>110</v>
      </c>
      <c r="CC13" s="14" t="s">
        <v>110</v>
      </c>
      <c r="CD13" s="18">
        <v>0</v>
      </c>
      <c r="CE13" s="13" t="s">
        <v>110</v>
      </c>
      <c r="CF13" s="13" t="s">
        <v>110</v>
      </c>
      <c r="CG13" s="13">
        <v>9155732</v>
      </c>
      <c r="CH13" s="13" t="s">
        <v>100</v>
      </c>
      <c r="CI13" s="24">
        <v>95.15</v>
      </c>
      <c r="CJ13" s="24">
        <f t="shared" si="8"/>
        <v>1107521.5743899997</v>
      </c>
      <c r="CK13" s="24">
        <v>62086.2</v>
      </c>
      <c r="CL13" s="24">
        <f t="shared" si="14"/>
        <v>5907502</v>
      </c>
      <c r="CM13" s="18">
        <v>0</v>
      </c>
      <c r="CN13" s="18">
        <f t="shared" si="9"/>
        <v>5907502</v>
      </c>
      <c r="CO13" s="18">
        <f t="shared" si="10"/>
        <v>1063350.3599999999</v>
      </c>
      <c r="CP13" s="18">
        <v>3933</v>
      </c>
      <c r="CQ13" s="18">
        <f t="shared" si="11"/>
        <v>1067283</v>
      </c>
      <c r="CR13" s="18">
        <f>12000+3180+700+6980+8500+14000+800+1500</f>
        <v>47660</v>
      </c>
      <c r="CS13" s="14">
        <v>46168</v>
      </c>
      <c r="CT13" s="13" t="s">
        <v>110</v>
      </c>
      <c r="CU13" s="13" t="s">
        <v>234</v>
      </c>
    </row>
    <row r="14" spans="1:100" s="13" customFormat="1" ht="43.2">
      <c r="A14" s="12" t="s">
        <v>95</v>
      </c>
      <c r="B14" s="13" t="str">
        <f t="shared" si="12"/>
        <v>382627</v>
      </c>
      <c r="C14" s="13" t="s">
        <v>96</v>
      </c>
      <c r="D14" s="13" t="s">
        <v>97</v>
      </c>
      <c r="E14" s="13" t="s">
        <v>235</v>
      </c>
      <c r="F14" s="14">
        <v>46153</v>
      </c>
      <c r="G14" s="14">
        <f t="shared" ref="G14:G32" si="18">F14+13</f>
        <v>46166</v>
      </c>
      <c r="H14" s="15" t="s">
        <v>99</v>
      </c>
      <c r="I14" s="15" t="s">
        <v>100</v>
      </c>
      <c r="J14" s="15" t="s">
        <v>100</v>
      </c>
      <c r="K14" s="14">
        <v>46145</v>
      </c>
      <c r="L14" s="13">
        <v>1620021014</v>
      </c>
      <c r="M14" s="13">
        <f t="shared" si="13"/>
        <v>1</v>
      </c>
      <c r="N14" s="14">
        <v>46097</v>
      </c>
      <c r="O14" s="27" t="s">
        <v>101</v>
      </c>
      <c r="P14" s="16" t="s">
        <v>102</v>
      </c>
      <c r="Q14" s="32" t="s">
        <v>226</v>
      </c>
      <c r="R14" s="16" t="s">
        <v>227</v>
      </c>
      <c r="S14" s="13" t="s">
        <v>228</v>
      </c>
      <c r="T14" s="18">
        <v>50</v>
      </c>
      <c r="U14" s="18">
        <v>2530</v>
      </c>
      <c r="V14" s="18">
        <f t="shared" si="3"/>
        <v>126500</v>
      </c>
      <c r="W14" s="18">
        <v>0</v>
      </c>
      <c r="X14" s="18">
        <f t="shared" si="4"/>
        <v>126500</v>
      </c>
      <c r="Y14" s="13">
        <v>8110045120</v>
      </c>
      <c r="Z14" s="14">
        <v>46099</v>
      </c>
      <c r="AA14" s="13" t="s">
        <v>236</v>
      </c>
      <c r="AB14" s="13">
        <v>21.91</v>
      </c>
      <c r="AC14" s="13" t="s">
        <v>110</v>
      </c>
      <c r="AD14" s="13" t="s">
        <v>110</v>
      </c>
      <c r="AE14" s="13" t="s">
        <v>110</v>
      </c>
      <c r="AF14" s="13" t="s">
        <v>110</v>
      </c>
      <c r="AG14" s="13" t="s">
        <v>110</v>
      </c>
      <c r="AH14" s="13" t="s">
        <v>110</v>
      </c>
      <c r="AI14" s="13" t="s">
        <v>110</v>
      </c>
      <c r="AJ14" s="13" t="s">
        <v>110</v>
      </c>
      <c r="AK14" s="13">
        <v>21910</v>
      </c>
      <c r="AL14" s="13" t="s">
        <v>110</v>
      </c>
      <c r="AM14" s="13" t="s">
        <v>112</v>
      </c>
      <c r="AN14" s="21" t="s">
        <v>237</v>
      </c>
      <c r="AO14" s="16" t="s">
        <v>206</v>
      </c>
      <c r="AP14" s="13" t="s">
        <v>115</v>
      </c>
      <c r="AQ14" s="13" t="s">
        <v>116</v>
      </c>
      <c r="AR14" s="13" t="s">
        <v>116</v>
      </c>
      <c r="AS14" s="13">
        <v>72042190</v>
      </c>
      <c r="AT14" s="13" t="s">
        <v>117</v>
      </c>
      <c r="AU14" s="13" t="s">
        <v>231</v>
      </c>
      <c r="AV14" s="13" t="s">
        <v>119</v>
      </c>
      <c r="AW14" s="18">
        <v>800</v>
      </c>
      <c r="AX14" s="13" t="s">
        <v>238</v>
      </c>
      <c r="AY14" s="13">
        <v>9000099892</v>
      </c>
      <c r="AZ14" s="14">
        <v>46145</v>
      </c>
      <c r="BA14" s="18">
        <v>21.91</v>
      </c>
      <c r="BB14" s="18">
        <v>2530</v>
      </c>
      <c r="BC14" s="18">
        <v>0</v>
      </c>
      <c r="BD14" s="18">
        <v>96.397499999999994</v>
      </c>
      <c r="BE14" s="18">
        <f t="shared" si="15"/>
        <v>55432.3</v>
      </c>
      <c r="BF14" s="18">
        <v>0</v>
      </c>
      <c r="BG14" s="22" t="s">
        <v>110</v>
      </c>
      <c r="BH14" s="20">
        <f t="shared" si="16"/>
        <v>55432.3</v>
      </c>
      <c r="BI14" s="24">
        <f t="shared" si="5"/>
        <v>5432365.4000000004</v>
      </c>
      <c r="BJ14" s="18">
        <f t="shared" si="17"/>
        <v>55432.3</v>
      </c>
      <c r="BK14" s="24">
        <f t="shared" si="6"/>
        <v>6421191.7119350005</v>
      </c>
      <c r="BL14" s="18">
        <f t="shared" si="7"/>
        <v>5343535.13925</v>
      </c>
      <c r="BM14" s="22">
        <v>46162</v>
      </c>
      <c r="BN14" s="18">
        <v>0</v>
      </c>
      <c r="BO14" s="18">
        <v>0</v>
      </c>
      <c r="BP14" s="24">
        <f>BN14-BF14</f>
        <v>0</v>
      </c>
      <c r="BQ14" s="18">
        <f>9843.54+3069.84</f>
        <v>12913.380000000001</v>
      </c>
      <c r="BR14" s="13" t="s">
        <v>122</v>
      </c>
      <c r="BS14" s="13" t="s">
        <v>169</v>
      </c>
      <c r="BT14" s="13" t="s">
        <v>124</v>
      </c>
      <c r="BU14" s="13" t="s">
        <v>209</v>
      </c>
      <c r="BV14" s="13" t="s">
        <v>126</v>
      </c>
      <c r="BW14" s="13" t="s">
        <v>127</v>
      </c>
      <c r="BX14" s="13" t="s">
        <v>239</v>
      </c>
      <c r="BY14" s="13" t="s">
        <v>124</v>
      </c>
      <c r="BZ14" s="18">
        <v>30500</v>
      </c>
      <c r="CA14" s="18" t="s">
        <v>130</v>
      </c>
      <c r="CB14" s="22" t="s">
        <v>110</v>
      </c>
      <c r="CC14" s="33" t="s">
        <v>110</v>
      </c>
      <c r="CD14" s="18" t="s">
        <v>110</v>
      </c>
      <c r="CE14" s="13" t="s">
        <v>124</v>
      </c>
      <c r="CF14" s="13" t="s">
        <v>124</v>
      </c>
      <c r="CG14" s="13">
        <v>9155734</v>
      </c>
      <c r="CH14" s="13" t="s">
        <v>100</v>
      </c>
      <c r="CI14" s="18">
        <v>95.15</v>
      </c>
      <c r="CJ14" s="24">
        <f t="shared" si="8"/>
        <v>988826.31193500001</v>
      </c>
      <c r="CK14" s="24">
        <v>55432.3</v>
      </c>
      <c r="CL14" s="24">
        <f t="shared" si="14"/>
        <v>5274383</v>
      </c>
      <c r="CM14" s="18">
        <v>0</v>
      </c>
      <c r="CN14" s="18">
        <f t="shared" si="9"/>
        <v>5274383</v>
      </c>
      <c r="CO14" s="18">
        <f t="shared" si="10"/>
        <v>949388.94</v>
      </c>
      <c r="CP14" s="18">
        <v>3511</v>
      </c>
      <c r="CQ14" s="18">
        <f t="shared" si="11"/>
        <v>952900</v>
      </c>
      <c r="CR14" s="18">
        <f>15180+700+24800+6230</f>
        <v>46910</v>
      </c>
      <c r="CS14" s="14">
        <v>46168</v>
      </c>
      <c r="CT14" s="13" t="s">
        <v>110</v>
      </c>
      <c r="CU14" s="13" t="s">
        <v>240</v>
      </c>
    </row>
    <row r="15" spans="1:100" s="13" customFormat="1" ht="43.2">
      <c r="A15" s="12" t="s">
        <v>95</v>
      </c>
      <c r="B15" s="13" t="str">
        <f t="shared" si="12"/>
        <v>682627</v>
      </c>
      <c r="C15" s="13" t="s">
        <v>96</v>
      </c>
      <c r="D15" s="13" t="s">
        <v>97</v>
      </c>
      <c r="E15" s="13" t="s">
        <v>241</v>
      </c>
      <c r="F15" s="14">
        <v>46153</v>
      </c>
      <c r="G15" s="14">
        <f t="shared" si="18"/>
        <v>46166</v>
      </c>
      <c r="H15" s="15" t="s">
        <v>99</v>
      </c>
      <c r="I15" s="15" t="s">
        <v>100</v>
      </c>
      <c r="J15" s="15" t="s">
        <v>100</v>
      </c>
      <c r="K15" s="14">
        <v>46145</v>
      </c>
      <c r="L15" s="13">
        <v>1620021032</v>
      </c>
      <c r="M15" s="13">
        <f t="shared" si="13"/>
        <v>1</v>
      </c>
      <c r="N15" s="14">
        <v>46106</v>
      </c>
      <c r="O15" s="27" t="s">
        <v>101</v>
      </c>
      <c r="P15" s="16" t="s">
        <v>102</v>
      </c>
      <c r="Q15" s="32" t="s">
        <v>242</v>
      </c>
      <c r="R15" s="16" t="s">
        <v>243</v>
      </c>
      <c r="S15" s="13" t="s">
        <v>244</v>
      </c>
      <c r="T15" s="18">
        <v>100</v>
      </c>
      <c r="U15" s="18">
        <v>2525</v>
      </c>
      <c r="V15" s="18">
        <f t="shared" si="3"/>
        <v>252500</v>
      </c>
      <c r="W15" s="18">
        <v>0</v>
      </c>
      <c r="X15" s="18">
        <f t="shared" si="4"/>
        <v>252500</v>
      </c>
      <c r="Y15" s="13">
        <v>8110045328</v>
      </c>
      <c r="Z15" s="14">
        <v>46128</v>
      </c>
      <c r="AA15" s="13" t="s">
        <v>245</v>
      </c>
      <c r="AB15" s="13">
        <v>26.01</v>
      </c>
      <c r="AC15" s="13" t="s">
        <v>110</v>
      </c>
      <c r="AD15" s="13" t="s">
        <v>110</v>
      </c>
      <c r="AE15" s="13" t="s">
        <v>110</v>
      </c>
      <c r="AF15" s="13" t="s">
        <v>110</v>
      </c>
      <c r="AG15" s="13" t="s">
        <v>110</v>
      </c>
      <c r="AH15" s="13" t="s">
        <v>110</v>
      </c>
      <c r="AI15" s="13" t="s">
        <v>110</v>
      </c>
      <c r="AJ15" s="13" t="s">
        <v>110</v>
      </c>
      <c r="AK15" s="13">
        <v>26010</v>
      </c>
      <c r="AL15" s="13" t="s">
        <v>110</v>
      </c>
      <c r="AM15" s="13" t="s">
        <v>246</v>
      </c>
      <c r="AN15" s="21" t="s">
        <v>247</v>
      </c>
      <c r="AO15" s="16" t="s">
        <v>206</v>
      </c>
      <c r="AP15" s="13" t="s">
        <v>115</v>
      </c>
      <c r="AQ15" s="13" t="s">
        <v>116</v>
      </c>
      <c r="AR15" s="13" t="s">
        <v>116</v>
      </c>
      <c r="AS15" s="13">
        <v>72042190</v>
      </c>
      <c r="AT15" s="13" t="s">
        <v>117</v>
      </c>
      <c r="AU15" s="13" t="s">
        <v>248</v>
      </c>
      <c r="AV15" s="13" t="s">
        <v>119</v>
      </c>
      <c r="AW15" s="18">
        <v>800</v>
      </c>
      <c r="AX15" s="13" t="s">
        <v>249</v>
      </c>
      <c r="AY15" s="13">
        <v>9000099890</v>
      </c>
      <c r="AZ15" s="14">
        <v>46145</v>
      </c>
      <c r="BA15" s="18">
        <v>26.01</v>
      </c>
      <c r="BB15" s="18">
        <v>2525</v>
      </c>
      <c r="BC15" s="18">
        <v>0</v>
      </c>
      <c r="BD15" s="18">
        <v>96.397499999999994</v>
      </c>
      <c r="BE15" s="18">
        <f t="shared" si="15"/>
        <v>65675.25</v>
      </c>
      <c r="BF15" s="18">
        <v>0</v>
      </c>
      <c r="BG15" s="22" t="s">
        <v>110</v>
      </c>
      <c r="BH15" s="20">
        <f t="shared" si="16"/>
        <v>65675.25</v>
      </c>
      <c r="BI15" s="24">
        <f t="shared" si="5"/>
        <v>6436174.5</v>
      </c>
      <c r="BJ15" s="18">
        <f t="shared" si="17"/>
        <v>65675.25</v>
      </c>
      <c r="BK15" s="24">
        <f t="shared" si="6"/>
        <v>7607719.1633625003</v>
      </c>
      <c r="BL15" s="18">
        <f t="shared" si="7"/>
        <v>6330929.9118749993</v>
      </c>
      <c r="BM15" s="22">
        <v>46162</v>
      </c>
      <c r="BN15" s="18">
        <v>0</v>
      </c>
      <c r="BO15" s="18">
        <v>0</v>
      </c>
      <c r="BP15" s="24">
        <f t="shared" ref="BP15:BP79" si="19">BN15-BF15</f>
        <v>0</v>
      </c>
      <c r="BQ15" s="18">
        <f>10830.93+3247.56</f>
        <v>14078.49</v>
      </c>
      <c r="BR15" s="13" t="s">
        <v>122</v>
      </c>
      <c r="BS15" s="13" t="s">
        <v>169</v>
      </c>
      <c r="BT15" s="13" t="s">
        <v>124</v>
      </c>
      <c r="BU15" s="13" t="s">
        <v>209</v>
      </c>
      <c r="BV15" s="13" t="s">
        <v>126</v>
      </c>
      <c r="BW15" s="13" t="s">
        <v>127</v>
      </c>
      <c r="BX15" s="13" t="s">
        <v>250</v>
      </c>
      <c r="BY15" s="13" t="s">
        <v>124</v>
      </c>
      <c r="BZ15" s="18">
        <v>44500</v>
      </c>
      <c r="CA15" s="18" t="s">
        <v>130</v>
      </c>
      <c r="CB15" s="22" t="s">
        <v>110</v>
      </c>
      <c r="CC15" s="33" t="s">
        <v>110</v>
      </c>
      <c r="CD15" s="18" t="s">
        <v>110</v>
      </c>
      <c r="CE15" s="23">
        <v>10432</v>
      </c>
      <c r="CF15" s="34" t="s">
        <v>131</v>
      </c>
      <c r="CG15" s="13">
        <v>9155682</v>
      </c>
      <c r="CH15" s="13" t="s">
        <v>100</v>
      </c>
      <c r="CI15" s="24">
        <v>95.15</v>
      </c>
      <c r="CJ15" s="24">
        <f t="shared" si="8"/>
        <v>1171544.6633625</v>
      </c>
      <c r="CK15" s="24">
        <v>65675.25</v>
      </c>
      <c r="CL15" s="24">
        <f t="shared" si="14"/>
        <v>6249000</v>
      </c>
      <c r="CM15" s="18">
        <v>0</v>
      </c>
      <c r="CN15" s="18">
        <f t="shared" si="9"/>
        <v>6249000</v>
      </c>
      <c r="CO15" s="18">
        <f t="shared" si="10"/>
        <v>1124820</v>
      </c>
      <c r="CP15" s="18">
        <v>7396</v>
      </c>
      <c r="CQ15" s="18">
        <f t="shared" si="11"/>
        <v>1132216</v>
      </c>
      <c r="CR15" s="18">
        <f>19700+700+34200+7380</f>
        <v>61980</v>
      </c>
      <c r="CS15" s="14">
        <v>46175</v>
      </c>
      <c r="CT15" s="13" t="s">
        <v>110</v>
      </c>
      <c r="CU15" s="13" t="s">
        <v>251</v>
      </c>
    </row>
    <row r="16" spans="1:100" s="13" customFormat="1" ht="43.2">
      <c r="A16" s="12" t="s">
        <v>95</v>
      </c>
      <c r="B16" s="13" t="str">
        <f t="shared" si="12"/>
        <v>862627</v>
      </c>
      <c r="C16" s="13" t="s">
        <v>96</v>
      </c>
      <c r="D16" s="13" t="s">
        <v>97</v>
      </c>
      <c r="E16" s="13" t="s">
        <v>252</v>
      </c>
      <c r="F16" s="14">
        <v>46153</v>
      </c>
      <c r="G16" s="14">
        <f t="shared" si="18"/>
        <v>46166</v>
      </c>
      <c r="H16" s="15" t="s">
        <v>99</v>
      </c>
      <c r="I16" s="15" t="s">
        <v>100</v>
      </c>
      <c r="J16" s="15" t="s">
        <v>100</v>
      </c>
      <c r="K16" s="14">
        <v>46247</v>
      </c>
      <c r="L16" s="13">
        <v>1620021032</v>
      </c>
      <c r="M16" s="13">
        <f t="shared" si="13"/>
        <v>1</v>
      </c>
      <c r="N16" s="14">
        <v>46106</v>
      </c>
      <c r="O16" s="27" t="s">
        <v>101</v>
      </c>
      <c r="P16" s="16" t="s">
        <v>102</v>
      </c>
      <c r="Q16" s="32" t="s">
        <v>242</v>
      </c>
      <c r="R16" s="16" t="s">
        <v>243</v>
      </c>
      <c r="S16" s="13" t="s">
        <v>244</v>
      </c>
      <c r="T16" s="18">
        <v>100</v>
      </c>
      <c r="U16" s="18">
        <v>2525</v>
      </c>
      <c r="V16" s="18">
        <f t="shared" si="3"/>
        <v>252500</v>
      </c>
      <c r="W16" s="18">
        <v>0</v>
      </c>
      <c r="X16" s="18">
        <f t="shared" si="4"/>
        <v>252500</v>
      </c>
      <c r="Y16" s="13">
        <v>8110045325</v>
      </c>
      <c r="Z16" s="14">
        <v>46139</v>
      </c>
      <c r="AA16" s="13" t="s">
        <v>253</v>
      </c>
      <c r="AB16" s="13">
        <v>22.78</v>
      </c>
      <c r="AC16" s="13" t="s">
        <v>110</v>
      </c>
      <c r="AD16" s="13" t="s">
        <v>110</v>
      </c>
      <c r="AE16" s="13" t="s">
        <v>110</v>
      </c>
      <c r="AF16" s="13" t="s">
        <v>110</v>
      </c>
      <c r="AG16" s="13" t="s">
        <v>110</v>
      </c>
      <c r="AH16" s="13" t="s">
        <v>110</v>
      </c>
      <c r="AI16" s="13" t="s">
        <v>110</v>
      </c>
      <c r="AJ16" s="13" t="s">
        <v>110</v>
      </c>
      <c r="AK16" s="13">
        <v>22780</v>
      </c>
      <c r="AL16" s="13" t="s">
        <v>110</v>
      </c>
      <c r="AM16" s="13" t="s">
        <v>246</v>
      </c>
      <c r="AN16" s="21" t="s">
        <v>254</v>
      </c>
      <c r="AO16" s="13" t="s">
        <v>255</v>
      </c>
      <c r="AP16" s="13" t="s">
        <v>115</v>
      </c>
      <c r="AQ16" s="13" t="s">
        <v>116</v>
      </c>
      <c r="AR16" s="13" t="s">
        <v>116</v>
      </c>
      <c r="AS16" s="13">
        <v>72042190</v>
      </c>
      <c r="AT16" s="13" t="s">
        <v>117</v>
      </c>
      <c r="AU16" s="13" t="s">
        <v>256</v>
      </c>
      <c r="AV16" s="13" t="s">
        <v>119</v>
      </c>
      <c r="AW16" s="18">
        <f>800+800</f>
        <v>1600</v>
      </c>
      <c r="AX16" s="16" t="s">
        <v>257</v>
      </c>
      <c r="AY16" s="16">
        <v>9000103073</v>
      </c>
      <c r="AZ16" s="14">
        <v>46247</v>
      </c>
      <c r="BA16" s="35">
        <v>22.78</v>
      </c>
      <c r="BB16" s="18">
        <v>2525</v>
      </c>
      <c r="BC16" s="18">
        <v>0</v>
      </c>
      <c r="BD16" s="36">
        <v>94.72</v>
      </c>
      <c r="BE16" s="24">
        <f t="shared" si="15"/>
        <v>57519.5</v>
      </c>
      <c r="BF16" s="18">
        <v>0</v>
      </c>
      <c r="BG16" s="22" t="s">
        <v>110</v>
      </c>
      <c r="BH16" s="20">
        <f t="shared" si="16"/>
        <v>57519.5</v>
      </c>
      <c r="BI16" s="24">
        <f t="shared" si="5"/>
        <v>5636911</v>
      </c>
      <c r="BJ16" s="18">
        <f t="shared" si="17"/>
        <v>57519.5</v>
      </c>
      <c r="BK16" s="24">
        <f t="shared" si="6"/>
        <v>6662969.7247749995</v>
      </c>
      <c r="BL16" s="24">
        <f t="shared" ref="BL16" si="20">BJ16*BD16</f>
        <v>5448247.04</v>
      </c>
      <c r="BM16" s="22">
        <v>46274</v>
      </c>
      <c r="BN16" s="18">
        <v>0</v>
      </c>
      <c r="BO16" s="18" t="s">
        <v>110</v>
      </c>
      <c r="BP16" s="24">
        <f t="shared" si="19"/>
        <v>0</v>
      </c>
      <c r="BQ16" s="18">
        <f>9948.25+3088.68</f>
        <v>13036.93</v>
      </c>
      <c r="BR16" s="13" t="s">
        <v>122</v>
      </c>
      <c r="BS16" s="13" t="s">
        <v>169</v>
      </c>
      <c r="BT16" s="13" t="s">
        <v>124</v>
      </c>
      <c r="BU16" s="13" t="s">
        <v>209</v>
      </c>
      <c r="BV16" s="13" t="s">
        <v>258</v>
      </c>
      <c r="BW16" s="13" t="s">
        <v>127</v>
      </c>
      <c r="BX16" s="13" t="s">
        <v>259</v>
      </c>
      <c r="BY16" s="13" t="s">
        <v>124</v>
      </c>
      <c r="BZ16" s="18">
        <f>4500+25000+800+2782+500+9000+550+170+1198</f>
        <v>44500</v>
      </c>
      <c r="CA16" s="18" t="s">
        <v>130</v>
      </c>
      <c r="CB16" s="22" t="s">
        <v>110</v>
      </c>
      <c r="CC16" s="33" t="s">
        <v>110</v>
      </c>
      <c r="CD16" s="18" t="s">
        <v>110</v>
      </c>
      <c r="CE16" s="13" t="s">
        <v>124</v>
      </c>
      <c r="CF16" s="13" t="s">
        <v>124</v>
      </c>
      <c r="CG16" s="13">
        <v>3315257</v>
      </c>
      <c r="CH16" s="13" t="s">
        <v>100</v>
      </c>
      <c r="CI16" s="13">
        <v>96.5</v>
      </c>
      <c r="CJ16" s="24">
        <f t="shared" si="8"/>
        <v>1026058.724775</v>
      </c>
      <c r="CK16" s="13">
        <v>57519.5</v>
      </c>
      <c r="CL16" s="24">
        <f t="shared" si="14"/>
        <v>5550632</v>
      </c>
      <c r="CM16" s="18">
        <v>0</v>
      </c>
      <c r="CN16" s="18">
        <f t="shared" si="9"/>
        <v>5550632</v>
      </c>
      <c r="CO16" s="18">
        <f t="shared" si="10"/>
        <v>999113.76</v>
      </c>
      <c r="CP16" s="18">
        <v>0</v>
      </c>
      <c r="CQ16" s="18">
        <f t="shared" si="11"/>
        <v>999114</v>
      </c>
      <c r="CR16" s="18">
        <v>0</v>
      </c>
      <c r="CS16" s="14">
        <v>46281</v>
      </c>
      <c r="CT16" s="13" t="s">
        <v>110</v>
      </c>
      <c r="CU16" s="13" t="s">
        <v>260</v>
      </c>
      <c r="CV16" s="16" t="s">
        <v>261</v>
      </c>
    </row>
    <row r="17" spans="1:100" s="13" customFormat="1" ht="43.2">
      <c r="A17" s="12" t="s">
        <v>95</v>
      </c>
      <c r="B17" s="13" t="str">
        <f t="shared" si="12"/>
        <v>852627</v>
      </c>
      <c r="C17" s="13" t="s">
        <v>96</v>
      </c>
      <c r="D17" s="13" t="s">
        <v>97</v>
      </c>
      <c r="E17" s="13" t="s">
        <v>262</v>
      </c>
      <c r="F17" s="14">
        <v>46153</v>
      </c>
      <c r="G17" s="14">
        <f t="shared" si="18"/>
        <v>46166</v>
      </c>
      <c r="H17" s="15" t="s">
        <v>99</v>
      </c>
      <c r="I17" s="15" t="s">
        <v>100</v>
      </c>
      <c r="J17" s="15" t="s">
        <v>100</v>
      </c>
      <c r="K17" s="14">
        <v>46194</v>
      </c>
      <c r="L17" s="13">
        <v>1620021032</v>
      </c>
      <c r="M17" s="13">
        <f t="shared" si="13"/>
        <v>2</v>
      </c>
      <c r="N17" s="14">
        <v>46106</v>
      </c>
      <c r="O17" s="27" t="s">
        <v>101</v>
      </c>
      <c r="P17" s="16" t="s">
        <v>102</v>
      </c>
      <c r="Q17" s="32" t="s">
        <v>242</v>
      </c>
      <c r="R17" s="16" t="s">
        <v>243</v>
      </c>
      <c r="S17" s="13" t="s">
        <v>244</v>
      </c>
      <c r="T17" s="18">
        <v>100</v>
      </c>
      <c r="U17" s="18">
        <v>2525</v>
      </c>
      <c r="V17" s="18">
        <f t="shared" si="3"/>
        <v>252500</v>
      </c>
      <c r="W17" s="18">
        <v>0</v>
      </c>
      <c r="X17" s="18">
        <f t="shared" si="4"/>
        <v>252500</v>
      </c>
      <c r="Y17" s="16" t="s">
        <v>263</v>
      </c>
      <c r="Z17" s="14">
        <v>46139</v>
      </c>
      <c r="AA17" s="13" t="s">
        <v>264</v>
      </c>
      <c r="AB17" s="13">
        <v>24.65</v>
      </c>
      <c r="AC17" s="13" t="s">
        <v>265</v>
      </c>
      <c r="AD17" s="13">
        <v>21.19</v>
      </c>
      <c r="AE17" s="13" t="s">
        <v>110</v>
      </c>
      <c r="AF17" s="13" t="s">
        <v>110</v>
      </c>
      <c r="AG17" s="13" t="s">
        <v>110</v>
      </c>
      <c r="AH17" s="13" t="s">
        <v>110</v>
      </c>
      <c r="AI17" s="13" t="s">
        <v>110</v>
      </c>
      <c r="AJ17" s="13" t="s">
        <v>110</v>
      </c>
      <c r="AK17" s="13">
        <v>45840</v>
      </c>
      <c r="AL17" s="13" t="s">
        <v>110</v>
      </c>
      <c r="AM17" s="13" t="s">
        <v>246</v>
      </c>
      <c r="AN17" s="21" t="s">
        <v>254</v>
      </c>
      <c r="AO17" s="13" t="s">
        <v>255</v>
      </c>
      <c r="AP17" s="13" t="s">
        <v>115</v>
      </c>
      <c r="AQ17" s="13" t="s">
        <v>116</v>
      </c>
      <c r="AR17" s="13" t="s">
        <v>116</v>
      </c>
      <c r="AS17" s="13">
        <v>72042190</v>
      </c>
      <c r="AT17" s="13" t="s">
        <v>117</v>
      </c>
      <c r="AU17" s="13" t="s">
        <v>266</v>
      </c>
      <c r="AV17" s="13" t="s">
        <v>119</v>
      </c>
      <c r="AW17" s="18">
        <v>800</v>
      </c>
      <c r="AX17" s="13" t="s">
        <v>267</v>
      </c>
      <c r="AY17" s="16" t="s">
        <v>268</v>
      </c>
      <c r="AZ17" s="14">
        <v>46145</v>
      </c>
      <c r="BA17" s="18">
        <f>24.65+21.19</f>
        <v>45.84</v>
      </c>
      <c r="BB17" s="18">
        <v>2525</v>
      </c>
      <c r="BC17" s="18">
        <v>0</v>
      </c>
      <c r="BD17" s="18">
        <v>94.49</v>
      </c>
      <c r="BE17" s="18">
        <f t="shared" si="15"/>
        <v>115746.00000000001</v>
      </c>
      <c r="BF17" s="18">
        <v>0</v>
      </c>
      <c r="BG17" s="22" t="s">
        <v>110</v>
      </c>
      <c r="BH17" s="20">
        <f t="shared" si="16"/>
        <v>115746</v>
      </c>
      <c r="BI17" s="24">
        <f t="shared" si="5"/>
        <v>11343108</v>
      </c>
      <c r="BJ17" s="18">
        <f t="shared" si="17"/>
        <v>115746</v>
      </c>
      <c r="BK17" s="24">
        <f t="shared" si="6"/>
        <v>13407837.2337</v>
      </c>
      <c r="BL17" s="18">
        <f>BJ17*BD17</f>
        <v>10936839.539999999</v>
      </c>
      <c r="BM17" s="22">
        <v>46204</v>
      </c>
      <c r="BN17" s="18">
        <v>0</v>
      </c>
      <c r="BO17" s="18">
        <v>0</v>
      </c>
      <c r="BP17" s="24">
        <f t="shared" si="19"/>
        <v>0</v>
      </c>
      <c r="BQ17" s="18">
        <f>15436.84+4076.64</f>
        <v>19513.48</v>
      </c>
      <c r="BR17" s="12" t="s">
        <v>122</v>
      </c>
      <c r="BS17" s="13" t="s">
        <v>169</v>
      </c>
      <c r="BT17" s="13" t="s">
        <v>124</v>
      </c>
      <c r="BU17" s="13" t="s">
        <v>209</v>
      </c>
      <c r="BV17" s="13" t="s">
        <v>126</v>
      </c>
      <c r="BW17" s="13" t="s">
        <v>127</v>
      </c>
      <c r="BX17" s="13" t="s">
        <v>269</v>
      </c>
      <c r="BY17" s="13" t="s">
        <v>124</v>
      </c>
      <c r="BZ17" s="23">
        <v>84500</v>
      </c>
      <c r="CA17" s="18" t="s">
        <v>130</v>
      </c>
      <c r="CB17" s="22" t="s">
        <v>110</v>
      </c>
      <c r="CC17" s="33" t="s">
        <v>110</v>
      </c>
      <c r="CD17" s="18" t="s">
        <v>110</v>
      </c>
      <c r="CE17" s="13" t="s">
        <v>124</v>
      </c>
      <c r="CF17" s="13" t="s">
        <v>124</v>
      </c>
      <c r="CG17" s="12">
        <v>2268755</v>
      </c>
      <c r="CH17" s="12" t="s">
        <v>100</v>
      </c>
      <c r="CI17" s="23">
        <v>95.3</v>
      </c>
      <c r="CJ17" s="24">
        <f t="shared" si="8"/>
        <v>2064729.2337</v>
      </c>
      <c r="CK17" s="23">
        <v>115746</v>
      </c>
      <c r="CL17" s="24">
        <f t="shared" si="14"/>
        <v>11030594</v>
      </c>
      <c r="CM17" s="18">
        <v>0</v>
      </c>
      <c r="CN17" s="23">
        <f t="shared" si="9"/>
        <v>11030594</v>
      </c>
      <c r="CO17" s="23">
        <f t="shared" si="10"/>
        <v>1985506.92</v>
      </c>
      <c r="CP17" s="18">
        <v>5712</v>
      </c>
      <c r="CQ17" s="18">
        <f t="shared" si="11"/>
        <v>1991219</v>
      </c>
      <c r="CR17" s="18">
        <f>15000+15000+6700+6700+700+700+24000+36000+3000+2400+3000+13020</f>
        <v>126220</v>
      </c>
      <c r="CS17" s="14">
        <v>46217</v>
      </c>
      <c r="CT17" s="13" t="s">
        <v>110</v>
      </c>
      <c r="CU17" s="13" t="s">
        <v>270</v>
      </c>
    </row>
    <row r="18" spans="1:100" s="13" customFormat="1" ht="43.2">
      <c r="A18" s="12" t="s">
        <v>95</v>
      </c>
      <c r="B18" s="13" t="str">
        <f t="shared" si="12"/>
        <v>392627</v>
      </c>
      <c r="C18" s="13" t="s">
        <v>96</v>
      </c>
      <c r="D18" s="13" t="s">
        <v>97</v>
      </c>
      <c r="E18" s="13" t="s">
        <v>271</v>
      </c>
      <c r="F18" s="14">
        <v>46153</v>
      </c>
      <c r="G18" s="14">
        <f t="shared" si="18"/>
        <v>46166</v>
      </c>
      <c r="H18" s="15" t="s">
        <v>99</v>
      </c>
      <c r="I18" s="15" t="s">
        <v>100</v>
      </c>
      <c r="J18" s="15" t="s">
        <v>100</v>
      </c>
      <c r="K18" s="14">
        <v>46151</v>
      </c>
      <c r="L18" s="13">
        <v>1620021019</v>
      </c>
      <c r="M18" s="13">
        <f t="shared" si="13"/>
        <v>1</v>
      </c>
      <c r="N18" s="14">
        <v>46098</v>
      </c>
      <c r="O18" s="27" t="s">
        <v>101</v>
      </c>
      <c r="P18" s="16" t="s">
        <v>102</v>
      </c>
      <c r="Q18" s="32" t="s">
        <v>272</v>
      </c>
      <c r="R18" s="16" t="s">
        <v>273</v>
      </c>
      <c r="S18" s="13" t="s">
        <v>274</v>
      </c>
      <c r="T18" s="18">
        <v>50</v>
      </c>
      <c r="U18" s="18">
        <v>1280</v>
      </c>
      <c r="V18" s="18">
        <f t="shared" si="3"/>
        <v>64000</v>
      </c>
      <c r="W18" s="18">
        <v>0</v>
      </c>
      <c r="X18" s="18">
        <f t="shared" si="4"/>
        <v>64000</v>
      </c>
      <c r="Y18" s="13">
        <v>8110045138</v>
      </c>
      <c r="Z18" s="14">
        <v>46106</v>
      </c>
      <c r="AA18" s="13" t="s">
        <v>275</v>
      </c>
      <c r="AB18" s="13">
        <v>25.17</v>
      </c>
      <c r="AC18" s="13" t="s">
        <v>110</v>
      </c>
      <c r="AD18" s="13" t="s">
        <v>110</v>
      </c>
      <c r="AE18" s="13" t="s">
        <v>110</v>
      </c>
      <c r="AF18" s="13" t="s">
        <v>110</v>
      </c>
      <c r="AG18" s="13" t="s">
        <v>110</v>
      </c>
      <c r="AH18" s="13" t="s">
        <v>110</v>
      </c>
      <c r="AI18" s="13" t="s">
        <v>110</v>
      </c>
      <c r="AJ18" s="13" t="s">
        <v>110</v>
      </c>
      <c r="AK18" s="13">
        <v>25170</v>
      </c>
      <c r="AL18" s="13" t="s">
        <v>110</v>
      </c>
      <c r="AM18" s="13" t="s">
        <v>112</v>
      </c>
      <c r="AN18" s="21" t="s">
        <v>276</v>
      </c>
      <c r="AO18" s="16" t="s">
        <v>206</v>
      </c>
      <c r="AP18" s="13" t="s">
        <v>115</v>
      </c>
      <c r="AQ18" s="13" t="s">
        <v>116</v>
      </c>
      <c r="AR18" s="13" t="s">
        <v>116</v>
      </c>
      <c r="AS18" s="13">
        <v>72042190</v>
      </c>
      <c r="AT18" s="13" t="s">
        <v>117</v>
      </c>
      <c r="AU18" s="13" t="s">
        <v>277</v>
      </c>
      <c r="AV18" s="13" t="s">
        <v>119</v>
      </c>
      <c r="AW18" s="18">
        <v>800</v>
      </c>
      <c r="AX18" s="13" t="s">
        <v>278</v>
      </c>
      <c r="AY18" s="13">
        <v>9000099876</v>
      </c>
      <c r="AZ18" s="14">
        <v>46145</v>
      </c>
      <c r="BA18" s="18">
        <v>25.17</v>
      </c>
      <c r="BB18" s="18">
        <v>1280</v>
      </c>
      <c r="BC18" s="18">
        <v>0</v>
      </c>
      <c r="BD18" s="18">
        <v>96.685000000000002</v>
      </c>
      <c r="BE18" s="18">
        <f t="shared" si="15"/>
        <v>32217.600000000002</v>
      </c>
      <c r="BF18" s="18">
        <v>0</v>
      </c>
      <c r="BG18" s="14" t="s">
        <v>110</v>
      </c>
      <c r="BH18" s="20">
        <f t="shared" si="16"/>
        <v>32217.599999999999</v>
      </c>
      <c r="BI18" s="24">
        <f t="shared" si="5"/>
        <v>3157324.8</v>
      </c>
      <c r="BJ18" s="18">
        <f t="shared" si="17"/>
        <v>32217.599999999999</v>
      </c>
      <c r="BK18" s="24">
        <f t="shared" si="6"/>
        <v>3732036.8467199998</v>
      </c>
      <c r="BL18" s="18">
        <f>BJ18*BD18</f>
        <v>3114958.656</v>
      </c>
      <c r="BM18" s="22">
        <v>46163</v>
      </c>
      <c r="BN18" s="18">
        <v>0</v>
      </c>
      <c r="BO18" s="18">
        <v>0</v>
      </c>
      <c r="BP18" s="24">
        <f t="shared" si="19"/>
        <v>0</v>
      </c>
      <c r="BQ18" s="18">
        <f>7614.96+2668.7</f>
        <v>10283.66</v>
      </c>
      <c r="BR18" s="13" t="s">
        <v>122</v>
      </c>
      <c r="BS18" s="13" t="s">
        <v>169</v>
      </c>
      <c r="BT18" s="13" t="s">
        <v>124</v>
      </c>
      <c r="BU18" s="13" t="s">
        <v>209</v>
      </c>
      <c r="BV18" s="13" t="s">
        <v>126</v>
      </c>
      <c r="BW18" s="13" t="s">
        <v>127</v>
      </c>
      <c r="BX18" s="13" t="s">
        <v>279</v>
      </c>
      <c r="BY18" s="13" t="s">
        <v>124</v>
      </c>
      <c r="BZ18" s="18">
        <v>30500</v>
      </c>
      <c r="CA18" s="18" t="s">
        <v>130</v>
      </c>
      <c r="CB18" s="22" t="s">
        <v>110</v>
      </c>
      <c r="CC18" s="33" t="s">
        <v>110</v>
      </c>
      <c r="CD18" s="18" t="s">
        <v>110</v>
      </c>
      <c r="CE18" s="24">
        <v>19250</v>
      </c>
      <c r="CF18" s="13" t="s">
        <v>124</v>
      </c>
      <c r="CG18" s="13">
        <v>9155683</v>
      </c>
      <c r="CH18" s="13" t="s">
        <v>100</v>
      </c>
      <c r="CI18" s="24">
        <v>95.15</v>
      </c>
      <c r="CJ18" s="24">
        <f t="shared" si="8"/>
        <v>574712.04671999998</v>
      </c>
      <c r="CK18" s="24">
        <v>32217.599999999999</v>
      </c>
      <c r="CL18" s="24">
        <f t="shared" si="14"/>
        <v>3065505</v>
      </c>
      <c r="CM18" s="18">
        <v>0</v>
      </c>
      <c r="CN18" s="18">
        <f t="shared" si="9"/>
        <v>3065505</v>
      </c>
      <c r="CO18" s="18">
        <f t="shared" si="10"/>
        <v>551790.9</v>
      </c>
      <c r="CP18" s="18">
        <v>2268</v>
      </c>
      <c r="CQ18" s="18">
        <f t="shared" si="11"/>
        <v>554059</v>
      </c>
      <c r="CR18" s="18">
        <f>15180+700+26800+3630</f>
        <v>46310</v>
      </c>
      <c r="CS18" s="14">
        <v>46169</v>
      </c>
      <c r="CT18" s="13" t="s">
        <v>110</v>
      </c>
      <c r="CU18" s="13" t="s">
        <v>280</v>
      </c>
    </row>
    <row r="19" spans="1:100" s="13" customFormat="1" ht="43.2">
      <c r="A19" s="12" t="s">
        <v>95</v>
      </c>
      <c r="B19" s="13" t="str">
        <f t="shared" si="12"/>
        <v>432627</v>
      </c>
      <c r="C19" s="13" t="s">
        <v>96</v>
      </c>
      <c r="D19" s="13" t="s">
        <v>97</v>
      </c>
      <c r="E19" s="13" t="s">
        <v>281</v>
      </c>
      <c r="F19" s="14">
        <v>46153</v>
      </c>
      <c r="G19" s="14">
        <f t="shared" si="18"/>
        <v>46166</v>
      </c>
      <c r="H19" s="15" t="s">
        <v>99</v>
      </c>
      <c r="I19" s="15" t="s">
        <v>100</v>
      </c>
      <c r="J19" s="15" t="s">
        <v>100</v>
      </c>
      <c r="K19" s="14">
        <v>46151</v>
      </c>
      <c r="L19" s="13">
        <v>1620021019</v>
      </c>
      <c r="M19" s="13">
        <f t="shared" si="13"/>
        <v>1</v>
      </c>
      <c r="N19" s="14">
        <v>46098</v>
      </c>
      <c r="O19" s="27" t="s">
        <v>101</v>
      </c>
      <c r="P19" s="16" t="s">
        <v>102</v>
      </c>
      <c r="Q19" s="32" t="s">
        <v>272</v>
      </c>
      <c r="R19" s="16" t="s">
        <v>273</v>
      </c>
      <c r="S19" s="13" t="s">
        <v>274</v>
      </c>
      <c r="T19" s="18">
        <v>50</v>
      </c>
      <c r="U19" s="18">
        <v>1280</v>
      </c>
      <c r="V19" s="18">
        <f t="shared" si="3"/>
        <v>64000</v>
      </c>
      <c r="W19" s="18">
        <v>0</v>
      </c>
      <c r="X19" s="18">
        <f t="shared" si="4"/>
        <v>64000</v>
      </c>
      <c r="Y19" s="13">
        <v>8110045172</v>
      </c>
      <c r="Z19" s="14">
        <v>46109</v>
      </c>
      <c r="AA19" s="13" t="s">
        <v>282</v>
      </c>
      <c r="AB19" s="13">
        <v>25.15</v>
      </c>
      <c r="AC19" s="13" t="s">
        <v>110</v>
      </c>
      <c r="AD19" s="13" t="s">
        <v>110</v>
      </c>
      <c r="AE19" s="13" t="s">
        <v>110</v>
      </c>
      <c r="AF19" s="13" t="s">
        <v>110</v>
      </c>
      <c r="AG19" s="13" t="s">
        <v>110</v>
      </c>
      <c r="AH19" s="13" t="s">
        <v>110</v>
      </c>
      <c r="AI19" s="13" t="s">
        <v>110</v>
      </c>
      <c r="AJ19" s="13" t="s">
        <v>110</v>
      </c>
      <c r="AK19" s="13">
        <v>25150</v>
      </c>
      <c r="AL19" s="13" t="s">
        <v>110</v>
      </c>
      <c r="AM19" s="13" t="s">
        <v>112</v>
      </c>
      <c r="AN19" s="21" t="s">
        <v>283</v>
      </c>
      <c r="AO19" s="16" t="s">
        <v>206</v>
      </c>
      <c r="AP19" s="13" t="s">
        <v>115</v>
      </c>
      <c r="AQ19" s="13" t="s">
        <v>116</v>
      </c>
      <c r="AR19" s="13" t="s">
        <v>116</v>
      </c>
      <c r="AS19" s="13">
        <v>72042190</v>
      </c>
      <c r="AT19" s="13" t="s">
        <v>117</v>
      </c>
      <c r="AU19" s="13" t="s">
        <v>284</v>
      </c>
      <c r="AV19" s="13" t="s">
        <v>119</v>
      </c>
      <c r="AW19" s="18">
        <v>800</v>
      </c>
      <c r="AX19" s="13" t="s">
        <v>285</v>
      </c>
      <c r="AY19" s="13">
        <v>9000099873</v>
      </c>
      <c r="AZ19" s="14">
        <v>46145</v>
      </c>
      <c r="BA19" s="18">
        <v>25.15</v>
      </c>
      <c r="BB19" s="18">
        <v>1280</v>
      </c>
      <c r="BC19" s="18">
        <v>0</v>
      </c>
      <c r="BD19" s="18">
        <v>96.685000000000002</v>
      </c>
      <c r="BE19" s="18">
        <f t="shared" si="15"/>
        <v>32192</v>
      </c>
      <c r="BF19" s="18">
        <v>0</v>
      </c>
      <c r="BG19" s="14" t="s">
        <v>110</v>
      </c>
      <c r="BH19" s="20">
        <f t="shared" si="16"/>
        <v>32192</v>
      </c>
      <c r="BI19" s="24">
        <f t="shared" si="5"/>
        <v>3154816</v>
      </c>
      <c r="BJ19" s="18">
        <f t="shared" si="17"/>
        <v>32192</v>
      </c>
      <c r="BK19" s="24">
        <f t="shared" si="6"/>
        <v>3729071.3824</v>
      </c>
      <c r="BL19" s="18">
        <f>BJ19*BD19</f>
        <v>3112483.52</v>
      </c>
      <c r="BM19" s="22">
        <v>46163</v>
      </c>
      <c r="BN19" s="18">
        <v>0</v>
      </c>
      <c r="BO19" s="18">
        <v>0</v>
      </c>
      <c r="BP19" s="24">
        <f t="shared" si="19"/>
        <v>0</v>
      </c>
      <c r="BQ19" s="18">
        <f>7612.48+2668.24</f>
        <v>10280.719999999999</v>
      </c>
      <c r="BR19" s="13" t="s">
        <v>122</v>
      </c>
      <c r="BS19" s="13" t="s">
        <v>169</v>
      </c>
      <c r="BT19" s="13" t="s">
        <v>124</v>
      </c>
      <c r="BU19" s="13" t="s">
        <v>209</v>
      </c>
      <c r="BV19" s="13" t="s">
        <v>126</v>
      </c>
      <c r="BW19" s="13" t="s">
        <v>127</v>
      </c>
      <c r="BX19" s="13" t="s">
        <v>286</v>
      </c>
      <c r="BY19" s="13" t="s">
        <v>124</v>
      </c>
      <c r="BZ19" s="18">
        <f>30500+1599</f>
        <v>32099</v>
      </c>
      <c r="CA19" s="18" t="s">
        <v>130</v>
      </c>
      <c r="CB19" s="22" t="s">
        <v>110</v>
      </c>
      <c r="CC19" s="33" t="s">
        <v>110</v>
      </c>
      <c r="CD19" s="18" t="s">
        <v>110</v>
      </c>
      <c r="CE19" s="24" t="s">
        <v>124</v>
      </c>
      <c r="CF19" s="13" t="s">
        <v>124</v>
      </c>
      <c r="CG19" s="13">
        <v>9155681</v>
      </c>
      <c r="CH19" s="13" t="s">
        <v>100</v>
      </c>
      <c r="CI19" s="24">
        <v>95.15</v>
      </c>
      <c r="CJ19" s="24">
        <f t="shared" si="8"/>
        <v>574255.3824</v>
      </c>
      <c r="CK19" s="24">
        <v>32192</v>
      </c>
      <c r="CL19" s="24">
        <f t="shared" si="14"/>
        <v>3063069</v>
      </c>
      <c r="CM19" s="18">
        <v>0</v>
      </c>
      <c r="CN19" s="18">
        <f t="shared" si="9"/>
        <v>3063069</v>
      </c>
      <c r="CO19" s="18">
        <f t="shared" si="10"/>
        <v>551352.41999999993</v>
      </c>
      <c r="CP19" s="18">
        <v>2039</v>
      </c>
      <c r="CQ19" s="18">
        <f t="shared" si="11"/>
        <v>553391</v>
      </c>
      <c r="CR19" s="18">
        <f>12000+3180+700+3620+8500+14000+800+1500</f>
        <v>44300</v>
      </c>
      <c r="CS19" s="14">
        <v>46168</v>
      </c>
      <c r="CT19" s="13" t="s">
        <v>110</v>
      </c>
      <c r="CU19" s="13" t="s">
        <v>287</v>
      </c>
    </row>
    <row r="20" spans="1:100" s="13" customFormat="1" ht="43.2">
      <c r="A20" s="12" t="s">
        <v>288</v>
      </c>
      <c r="B20" s="13" t="str">
        <f t="shared" si="12"/>
        <v>087564</v>
      </c>
      <c r="C20" s="13" t="s">
        <v>96</v>
      </c>
      <c r="D20" s="13" t="s">
        <v>97</v>
      </c>
      <c r="E20" s="13" t="s">
        <v>289</v>
      </c>
      <c r="F20" s="14">
        <v>46157</v>
      </c>
      <c r="G20" s="14">
        <f t="shared" si="18"/>
        <v>46170</v>
      </c>
      <c r="H20" s="15" t="s">
        <v>99</v>
      </c>
      <c r="I20" s="15" t="s">
        <v>100</v>
      </c>
      <c r="J20" s="15" t="s">
        <v>100</v>
      </c>
      <c r="K20" s="14">
        <v>46164</v>
      </c>
      <c r="L20" s="13">
        <v>1620021047</v>
      </c>
      <c r="M20" s="13">
        <f t="shared" si="13"/>
        <v>1</v>
      </c>
      <c r="N20" s="14">
        <v>46113</v>
      </c>
      <c r="O20" s="27" t="s">
        <v>101</v>
      </c>
      <c r="P20" s="16" t="s">
        <v>102</v>
      </c>
      <c r="Q20" s="32" t="s">
        <v>290</v>
      </c>
      <c r="R20" s="16" t="s">
        <v>291</v>
      </c>
      <c r="S20" s="37" t="s">
        <v>292</v>
      </c>
      <c r="T20" s="18">
        <v>22</v>
      </c>
      <c r="U20" s="18">
        <v>860</v>
      </c>
      <c r="V20" s="18">
        <f t="shared" si="3"/>
        <v>18920</v>
      </c>
      <c r="W20" s="18">
        <v>0</v>
      </c>
      <c r="X20" s="18">
        <f t="shared" si="4"/>
        <v>18920</v>
      </c>
      <c r="Y20" s="13">
        <v>8110045277</v>
      </c>
      <c r="Z20" s="14">
        <v>46131</v>
      </c>
      <c r="AA20" s="13" t="s">
        <v>293</v>
      </c>
      <c r="AB20" s="13">
        <v>24.73</v>
      </c>
      <c r="AC20" s="13" t="s">
        <v>110</v>
      </c>
      <c r="AD20" s="13" t="s">
        <v>110</v>
      </c>
      <c r="AE20" s="13" t="s">
        <v>110</v>
      </c>
      <c r="AF20" s="13" t="s">
        <v>110</v>
      </c>
      <c r="AG20" s="13" t="s">
        <v>110</v>
      </c>
      <c r="AH20" s="13" t="s">
        <v>110</v>
      </c>
      <c r="AI20" s="13" t="s">
        <v>110</v>
      </c>
      <c r="AJ20" s="13" t="s">
        <v>110</v>
      </c>
      <c r="AK20" s="13">
        <v>24730</v>
      </c>
      <c r="AL20" s="13" t="s">
        <v>294</v>
      </c>
      <c r="AM20" s="13" t="s">
        <v>246</v>
      </c>
      <c r="AN20" s="21" t="s">
        <v>295</v>
      </c>
      <c r="AO20" s="13" t="s">
        <v>296</v>
      </c>
      <c r="AP20" s="13" t="s">
        <v>115</v>
      </c>
      <c r="AQ20" s="13" t="s">
        <v>116</v>
      </c>
      <c r="AR20" s="13" t="s">
        <v>116</v>
      </c>
      <c r="AS20" s="13">
        <v>72042190</v>
      </c>
      <c r="AT20" s="13" t="s">
        <v>117</v>
      </c>
      <c r="AU20" s="13" t="s">
        <v>297</v>
      </c>
      <c r="AV20" s="13" t="s">
        <v>119</v>
      </c>
      <c r="AW20" s="18">
        <v>800</v>
      </c>
      <c r="AX20" s="13" t="s">
        <v>298</v>
      </c>
      <c r="AY20" s="13">
        <v>9000100086</v>
      </c>
      <c r="AZ20" s="14">
        <v>46163</v>
      </c>
      <c r="BA20" s="18">
        <v>24.73</v>
      </c>
      <c r="BB20" s="18">
        <v>860</v>
      </c>
      <c r="BC20" s="18">
        <v>0</v>
      </c>
      <c r="BD20" s="18">
        <v>95.864999999999995</v>
      </c>
      <c r="BE20" s="18">
        <f t="shared" si="15"/>
        <v>21267.8</v>
      </c>
      <c r="BF20" s="18">
        <v>0</v>
      </c>
      <c r="BG20" s="14" t="s">
        <v>110</v>
      </c>
      <c r="BH20" s="20">
        <f>_xlfn.NUMBERVALUE(BE20)</f>
        <v>21267.8</v>
      </c>
      <c r="BI20" s="24">
        <f t="shared" si="5"/>
        <v>2084244.4</v>
      </c>
      <c r="BJ20" s="18">
        <f t="shared" si="17"/>
        <v>21267.8</v>
      </c>
      <c r="BK20" s="24">
        <f t="shared" si="6"/>
        <v>2463628.98691</v>
      </c>
      <c r="BL20" s="18">
        <f>BJ20*BD20</f>
        <v>2038837.6469999999</v>
      </c>
      <c r="BM20" s="22">
        <v>46177</v>
      </c>
      <c r="BN20" s="18">
        <v>0</v>
      </c>
      <c r="BO20" s="18">
        <v>0</v>
      </c>
      <c r="BP20" s="24">
        <f t="shared" si="19"/>
        <v>0</v>
      </c>
      <c r="BQ20" s="18">
        <f>6538.84+2475</f>
        <v>9013.84</v>
      </c>
      <c r="BR20" s="13" t="s">
        <v>122</v>
      </c>
      <c r="BS20" s="13" t="s">
        <v>169</v>
      </c>
      <c r="BT20" s="13" t="s">
        <v>124</v>
      </c>
      <c r="BU20" s="13" t="s">
        <v>299</v>
      </c>
      <c r="BV20" s="13" t="s">
        <v>126</v>
      </c>
      <c r="BW20" s="13" t="s">
        <v>127</v>
      </c>
      <c r="BX20" s="13" t="s">
        <v>300</v>
      </c>
      <c r="BY20" s="13" t="s">
        <v>124</v>
      </c>
      <c r="BZ20" s="18">
        <v>36797</v>
      </c>
      <c r="CA20" s="18" t="s">
        <v>130</v>
      </c>
      <c r="CB20" s="22" t="s">
        <v>110</v>
      </c>
      <c r="CC20" s="33" t="s">
        <v>110</v>
      </c>
      <c r="CD20" s="18" t="s">
        <v>110</v>
      </c>
      <c r="CE20" s="24" t="s">
        <v>124</v>
      </c>
      <c r="CF20" s="13" t="s">
        <v>124</v>
      </c>
      <c r="CG20" s="13">
        <v>9551213</v>
      </c>
      <c r="CH20" s="13" t="s">
        <v>100</v>
      </c>
      <c r="CI20" s="38">
        <v>97.05</v>
      </c>
      <c r="CJ20" s="24">
        <f t="shared" si="8"/>
        <v>379384.58691000001</v>
      </c>
      <c r="CK20" s="24">
        <v>21267.8</v>
      </c>
      <c r="CL20" s="24">
        <f t="shared" si="14"/>
        <v>2064040</v>
      </c>
      <c r="CM20" s="18">
        <v>0</v>
      </c>
      <c r="CN20" s="18">
        <f t="shared" si="9"/>
        <v>2064040</v>
      </c>
      <c r="CO20" s="18">
        <f t="shared" si="10"/>
        <v>371527.2</v>
      </c>
      <c r="CP20" s="18">
        <v>1069</v>
      </c>
      <c r="CQ20" s="18">
        <f t="shared" si="11"/>
        <v>372596</v>
      </c>
      <c r="CR20" s="18">
        <f>20864+700+34200+2440</f>
        <v>58204</v>
      </c>
      <c r="CS20" s="14">
        <v>46184</v>
      </c>
      <c r="CT20" s="13" t="s">
        <v>110</v>
      </c>
      <c r="CU20" s="13" t="s">
        <v>301</v>
      </c>
    </row>
    <row r="21" spans="1:100" s="13" customFormat="1" ht="43.2">
      <c r="A21" s="12" t="s">
        <v>288</v>
      </c>
      <c r="B21" s="13" t="str">
        <f t="shared" si="12"/>
        <v>812627</v>
      </c>
      <c r="C21" s="13" t="s">
        <v>96</v>
      </c>
      <c r="D21" s="13" t="s">
        <v>97</v>
      </c>
      <c r="E21" s="13" t="s">
        <v>302</v>
      </c>
      <c r="F21" s="14">
        <v>46205</v>
      </c>
      <c r="G21" s="14">
        <f t="shared" si="18"/>
        <v>46218</v>
      </c>
      <c r="H21" s="15" t="s">
        <v>99</v>
      </c>
      <c r="I21" s="15" t="s">
        <v>100</v>
      </c>
      <c r="J21" s="15" t="s">
        <v>100</v>
      </c>
      <c r="K21" s="14">
        <v>46194</v>
      </c>
      <c r="L21" s="13">
        <v>1620021062</v>
      </c>
      <c r="M21" s="13">
        <f t="shared" si="13"/>
        <v>1</v>
      </c>
      <c r="N21" s="14">
        <v>46117</v>
      </c>
      <c r="O21" s="27" t="s">
        <v>101</v>
      </c>
      <c r="P21" s="16" t="s">
        <v>102</v>
      </c>
      <c r="Q21" s="39" t="s">
        <v>303</v>
      </c>
      <c r="R21" s="16" t="s">
        <v>304</v>
      </c>
      <c r="S21" s="13" t="s">
        <v>305</v>
      </c>
      <c r="T21" s="18">
        <v>22</v>
      </c>
      <c r="U21" s="18">
        <v>2430</v>
      </c>
      <c r="V21" s="18">
        <f t="shared" si="3"/>
        <v>53460</v>
      </c>
      <c r="W21" s="24">
        <v>0</v>
      </c>
      <c r="X21" s="18">
        <f>+V21-W21</f>
        <v>53460</v>
      </c>
      <c r="Y21" s="40">
        <v>8110045362</v>
      </c>
      <c r="Z21" s="14">
        <v>46130</v>
      </c>
      <c r="AA21" s="13" t="s">
        <v>306</v>
      </c>
      <c r="AB21" s="13">
        <v>25.27</v>
      </c>
      <c r="AC21" s="13" t="s">
        <v>110</v>
      </c>
      <c r="AD21" s="13" t="s">
        <v>110</v>
      </c>
      <c r="AE21" s="13" t="s">
        <v>110</v>
      </c>
      <c r="AF21" s="13" t="s">
        <v>110</v>
      </c>
      <c r="AG21" s="13" t="s">
        <v>110</v>
      </c>
      <c r="AH21" s="13" t="s">
        <v>110</v>
      </c>
      <c r="AI21" s="13" t="s">
        <v>110</v>
      </c>
      <c r="AJ21" s="13" t="s">
        <v>110</v>
      </c>
      <c r="AK21" s="13">
        <v>25270</v>
      </c>
      <c r="AL21" s="13" t="s">
        <v>307</v>
      </c>
      <c r="AM21" s="13" t="s">
        <v>112</v>
      </c>
      <c r="AN21" s="16">
        <v>34064</v>
      </c>
      <c r="AO21" s="13" t="s">
        <v>255</v>
      </c>
      <c r="AP21" s="13" t="s">
        <v>115</v>
      </c>
      <c r="AQ21" s="13" t="s">
        <v>116</v>
      </c>
      <c r="AR21" s="13" t="s">
        <v>116</v>
      </c>
      <c r="AS21" s="13">
        <v>72042190</v>
      </c>
      <c r="AT21" s="13" t="s">
        <v>117</v>
      </c>
      <c r="AU21" s="13" t="s">
        <v>308</v>
      </c>
      <c r="AV21" s="13" t="s">
        <v>119</v>
      </c>
      <c r="AW21" s="18">
        <v>800</v>
      </c>
      <c r="AX21" s="13" t="s">
        <v>309</v>
      </c>
      <c r="AY21" s="13">
        <v>9000101665</v>
      </c>
      <c r="AZ21" s="14">
        <v>46194</v>
      </c>
      <c r="BA21" s="13">
        <v>25.27</v>
      </c>
      <c r="BB21" s="24">
        <v>2430</v>
      </c>
      <c r="BC21" s="18">
        <v>0</v>
      </c>
      <c r="BD21" s="18">
        <f>(95.195+94.49)/2</f>
        <v>94.842500000000001</v>
      </c>
      <c r="BE21" s="18">
        <f t="shared" si="15"/>
        <v>61406.1</v>
      </c>
      <c r="BF21" s="18">
        <v>0</v>
      </c>
      <c r="BG21" s="13" t="s">
        <v>110</v>
      </c>
      <c r="BH21" s="20">
        <f t="shared" ref="BH21:BH77" si="21">_xlfn.NUMBERVALUE(BE21)</f>
        <v>61406.1</v>
      </c>
      <c r="BI21" s="24">
        <f t="shared" si="5"/>
        <v>6017797.7999999998</v>
      </c>
      <c r="BJ21" s="18">
        <f t="shared" si="17"/>
        <v>61406.1</v>
      </c>
      <c r="BK21" s="24">
        <f t="shared" si="6"/>
        <v>7113187.4445449999</v>
      </c>
      <c r="BL21" s="18">
        <f>((2860.7*95.195)+(58545.4*94.49))</f>
        <v>5804279.1825000001</v>
      </c>
      <c r="BM21" s="22">
        <v>46204</v>
      </c>
      <c r="BN21" s="18">
        <v>0</v>
      </c>
      <c r="BO21" s="18">
        <v>0</v>
      </c>
      <c r="BP21" s="24">
        <f t="shared" si="19"/>
        <v>0</v>
      </c>
      <c r="BQ21" s="41">
        <f>10304.28+3152.78</f>
        <v>13457.060000000001</v>
      </c>
      <c r="BR21" s="13" t="s">
        <v>122</v>
      </c>
      <c r="BS21" s="13" t="s">
        <v>169</v>
      </c>
      <c r="BT21" s="13" t="s">
        <v>124</v>
      </c>
      <c r="BU21" s="13" t="s">
        <v>209</v>
      </c>
      <c r="BV21" s="13" t="s">
        <v>126</v>
      </c>
      <c r="BW21" s="13" t="s">
        <v>127</v>
      </c>
      <c r="BX21" s="13" t="s">
        <v>310</v>
      </c>
      <c r="BY21" s="13" t="s">
        <v>124</v>
      </c>
      <c r="BZ21" s="24">
        <f>4500+14500+500+1500+400+2000+500+5000+170+430+1000</f>
        <v>30500</v>
      </c>
      <c r="CA21" s="18" t="s">
        <v>130</v>
      </c>
      <c r="CB21" s="22" t="s">
        <v>110</v>
      </c>
      <c r="CC21" s="33" t="s">
        <v>110</v>
      </c>
      <c r="CD21" s="18" t="s">
        <v>110</v>
      </c>
      <c r="CE21" s="24" t="s">
        <v>124</v>
      </c>
      <c r="CF21" s="13" t="s">
        <v>124</v>
      </c>
      <c r="CG21" s="13">
        <v>2265908</v>
      </c>
      <c r="CH21" s="13" t="s">
        <v>100</v>
      </c>
      <c r="CI21" s="38">
        <v>95.3</v>
      </c>
      <c r="CJ21" s="24">
        <f t="shared" si="8"/>
        <v>1095389.644545</v>
      </c>
      <c r="CK21" s="24">
        <v>61406.1</v>
      </c>
      <c r="CL21" s="24">
        <f t="shared" si="14"/>
        <v>5852001</v>
      </c>
      <c r="CM21" s="18">
        <v>0</v>
      </c>
      <c r="CN21" s="18">
        <f t="shared" si="9"/>
        <v>5852001</v>
      </c>
      <c r="CO21" s="18">
        <f t="shared" si="10"/>
        <v>1053360.18</v>
      </c>
      <c r="CP21" s="18">
        <v>2164</v>
      </c>
      <c r="CQ21" s="18">
        <f t="shared" si="11"/>
        <v>1055524</v>
      </c>
      <c r="CR21" s="18">
        <f>13000+3180+700+8500+14000+800+750+6910</f>
        <v>47840</v>
      </c>
      <c r="CS21" s="14">
        <v>46214</v>
      </c>
      <c r="CT21" s="13" t="s">
        <v>110</v>
      </c>
      <c r="CU21" s="13" t="s">
        <v>311</v>
      </c>
    </row>
    <row r="22" spans="1:100" s="13" customFormat="1" ht="57.6">
      <c r="A22" s="12" t="s">
        <v>288</v>
      </c>
      <c r="B22" s="13" t="str">
        <f t="shared" si="12"/>
        <v>087073</v>
      </c>
      <c r="C22" s="13" t="s">
        <v>96</v>
      </c>
      <c r="D22" s="13" t="s">
        <v>97</v>
      </c>
      <c r="E22" s="42" t="s">
        <v>312</v>
      </c>
      <c r="F22" s="43">
        <v>46154</v>
      </c>
      <c r="G22" s="43">
        <f t="shared" si="18"/>
        <v>46167</v>
      </c>
      <c r="H22" s="15" t="s">
        <v>99</v>
      </c>
      <c r="I22" s="15" t="s">
        <v>100</v>
      </c>
      <c r="J22" s="15" t="s">
        <v>100</v>
      </c>
      <c r="K22" s="43">
        <v>46143</v>
      </c>
      <c r="L22" s="42">
        <v>1620021071</v>
      </c>
      <c r="M22" s="13">
        <f t="shared" si="13"/>
        <v>1</v>
      </c>
      <c r="N22" s="43">
        <v>46120</v>
      </c>
      <c r="O22" s="30" t="s">
        <v>101</v>
      </c>
      <c r="P22" s="16" t="s">
        <v>102</v>
      </c>
      <c r="Q22" s="39" t="s">
        <v>313</v>
      </c>
      <c r="R22" s="44" t="s">
        <v>314</v>
      </c>
      <c r="S22" s="16" t="s">
        <v>315</v>
      </c>
      <c r="T22" s="13">
        <f>23+2</f>
        <v>25</v>
      </c>
      <c r="U22" s="24">
        <f>((23*2510)+(2*5200))/25</f>
        <v>2725.2</v>
      </c>
      <c r="V22" s="18">
        <f t="shared" si="3"/>
        <v>68130</v>
      </c>
      <c r="W22" s="24">
        <v>0</v>
      </c>
      <c r="X22" s="18">
        <f t="shared" ref="X22:X86" si="22">+V22-W22</f>
        <v>68130</v>
      </c>
      <c r="Y22" s="13">
        <v>8110045357</v>
      </c>
      <c r="Z22" s="14">
        <v>46127</v>
      </c>
      <c r="AA22" s="13" t="s">
        <v>316</v>
      </c>
      <c r="AB22" s="13">
        <f>19.49+3.75</f>
        <v>23.24</v>
      </c>
      <c r="AC22" s="13" t="s">
        <v>110</v>
      </c>
      <c r="AD22" s="13" t="s">
        <v>110</v>
      </c>
      <c r="AE22" s="13" t="s">
        <v>110</v>
      </c>
      <c r="AF22" s="13" t="s">
        <v>110</v>
      </c>
      <c r="AG22" s="13" t="s">
        <v>110</v>
      </c>
      <c r="AH22" s="13" t="s">
        <v>110</v>
      </c>
      <c r="AI22" s="13" t="s">
        <v>110</v>
      </c>
      <c r="AJ22" s="13" t="s">
        <v>110</v>
      </c>
      <c r="AK22" s="13">
        <v>23240</v>
      </c>
      <c r="AL22" s="13" t="s">
        <v>110</v>
      </c>
      <c r="AM22" s="13" t="s">
        <v>112</v>
      </c>
      <c r="AN22" s="16">
        <v>34069</v>
      </c>
      <c r="AO22" s="16" t="s">
        <v>317</v>
      </c>
      <c r="AP22" s="13" t="s">
        <v>115</v>
      </c>
      <c r="AQ22" s="13" t="s">
        <v>116</v>
      </c>
      <c r="AR22" s="13" t="s">
        <v>116</v>
      </c>
      <c r="AS22" s="13">
        <v>72042190</v>
      </c>
      <c r="AT22" s="13" t="s">
        <v>117</v>
      </c>
      <c r="AU22" s="13" t="s">
        <v>318</v>
      </c>
      <c r="AV22" s="13" t="s">
        <v>119</v>
      </c>
      <c r="AW22" s="18">
        <v>800</v>
      </c>
      <c r="AX22" s="13" t="s">
        <v>319</v>
      </c>
      <c r="AY22" s="13">
        <v>9000099628</v>
      </c>
      <c r="AZ22" s="14">
        <v>46140</v>
      </c>
      <c r="BA22" s="13">
        <f>19.49+3.75</f>
        <v>23.24</v>
      </c>
      <c r="BB22" s="24">
        <f>((19.49*2510)+(3.75*5200))/23.24</f>
        <v>2944.0576592082616</v>
      </c>
      <c r="BC22" s="18">
        <v>0</v>
      </c>
      <c r="BD22" s="24">
        <v>96.052499999999995</v>
      </c>
      <c r="BE22" s="18">
        <f t="shared" si="15"/>
        <v>68419.899999999994</v>
      </c>
      <c r="BF22" s="18">
        <v>0</v>
      </c>
      <c r="BG22" s="13" t="s">
        <v>110</v>
      </c>
      <c r="BH22" s="20">
        <f t="shared" si="21"/>
        <v>68419.899999999994</v>
      </c>
      <c r="BI22" s="24">
        <f t="shared" si="5"/>
        <v>6705150.1999999993</v>
      </c>
      <c r="BJ22" s="18">
        <f t="shared" si="17"/>
        <v>68419.899999999994</v>
      </c>
      <c r="BK22" s="24">
        <f t="shared" si="6"/>
        <v>7834924.3131655995</v>
      </c>
      <c r="BL22" s="18">
        <f>BJ22*BD22</f>
        <v>6571902.4447499989</v>
      </c>
      <c r="BM22" s="14">
        <v>46160</v>
      </c>
      <c r="BN22" s="18">
        <v>0</v>
      </c>
      <c r="BO22" s="18">
        <v>0</v>
      </c>
      <c r="BP22" s="24">
        <f t="shared" si="19"/>
        <v>0</v>
      </c>
      <c r="BQ22" s="41">
        <f>11071.9+3290.94</f>
        <v>14362.84</v>
      </c>
      <c r="BR22" s="13" t="s">
        <v>122</v>
      </c>
      <c r="BS22" s="13" t="s">
        <v>169</v>
      </c>
      <c r="BT22" s="13" t="s">
        <v>124</v>
      </c>
      <c r="BU22" s="13" t="s">
        <v>299</v>
      </c>
      <c r="BV22" s="13" t="s">
        <v>126</v>
      </c>
      <c r="BW22" s="13" t="s">
        <v>127</v>
      </c>
      <c r="BX22" s="13" t="s">
        <v>320</v>
      </c>
      <c r="BY22" s="13" t="s">
        <v>124</v>
      </c>
      <c r="BZ22" s="24">
        <f>32503</f>
        <v>32503</v>
      </c>
      <c r="CA22" s="18" t="s">
        <v>130</v>
      </c>
      <c r="CB22" s="22" t="s">
        <v>110</v>
      </c>
      <c r="CC22" s="33" t="s">
        <v>110</v>
      </c>
      <c r="CD22" s="18" t="s">
        <v>110</v>
      </c>
      <c r="CE22" s="24" t="s">
        <v>124</v>
      </c>
      <c r="CF22" s="13" t="s">
        <v>124</v>
      </c>
      <c r="CG22" s="13">
        <v>9155739</v>
      </c>
      <c r="CH22" s="13" t="s">
        <v>100</v>
      </c>
      <c r="CI22" s="24">
        <v>95.15</v>
      </c>
      <c r="CJ22" s="24">
        <f t="shared" si="8"/>
        <v>1129774.1131655998</v>
      </c>
      <c r="CK22" s="24">
        <v>68419.899999999994</v>
      </c>
      <c r="CL22" s="24">
        <f t="shared" si="14"/>
        <v>6510153</v>
      </c>
      <c r="CM22" s="18">
        <v>0</v>
      </c>
      <c r="CN22" s="18">
        <f t="shared" si="9"/>
        <v>6510153</v>
      </c>
      <c r="CO22" s="18">
        <f t="shared" si="10"/>
        <v>1171827.54</v>
      </c>
      <c r="CP22" s="18">
        <v>4816</v>
      </c>
      <c r="CQ22" s="18">
        <f t="shared" si="11"/>
        <v>1176644</v>
      </c>
      <c r="CR22" s="24">
        <f>15200+700+19300+7690</f>
        <v>42890</v>
      </c>
      <c r="CS22" s="14">
        <v>46165</v>
      </c>
      <c r="CT22" s="13" t="s">
        <v>110</v>
      </c>
      <c r="CU22" s="13" t="s">
        <v>321</v>
      </c>
    </row>
    <row r="23" spans="1:100" s="13" customFormat="1" ht="57.6">
      <c r="A23" s="12" t="s">
        <v>288</v>
      </c>
      <c r="B23" s="13" t="str">
        <f t="shared" si="12"/>
        <v>087072</v>
      </c>
      <c r="C23" s="13" t="s">
        <v>96</v>
      </c>
      <c r="D23" s="13" t="s">
        <v>97</v>
      </c>
      <c r="E23" s="42" t="s">
        <v>322</v>
      </c>
      <c r="F23" s="43">
        <v>46147</v>
      </c>
      <c r="G23" s="43">
        <f t="shared" si="18"/>
        <v>46160</v>
      </c>
      <c r="H23" s="15" t="s">
        <v>99</v>
      </c>
      <c r="I23" s="15" t="s">
        <v>100</v>
      </c>
      <c r="J23" s="15" t="s">
        <v>100</v>
      </c>
      <c r="K23" s="43">
        <v>46143</v>
      </c>
      <c r="L23" s="42">
        <v>1620021086</v>
      </c>
      <c r="M23" s="13">
        <f t="shared" si="13"/>
        <v>1</v>
      </c>
      <c r="N23" s="43">
        <v>46120</v>
      </c>
      <c r="O23" s="30" t="s">
        <v>101</v>
      </c>
      <c r="P23" s="16" t="s">
        <v>102</v>
      </c>
      <c r="Q23" s="39" t="s">
        <v>323</v>
      </c>
      <c r="R23" s="44" t="s">
        <v>324</v>
      </c>
      <c r="S23" s="16" t="s">
        <v>325</v>
      </c>
      <c r="T23" s="13">
        <f>6+15</f>
        <v>21</v>
      </c>
      <c r="U23" s="24">
        <f>((6*11100)+(15*2550))/21</f>
        <v>4992.8571428571431</v>
      </c>
      <c r="V23" s="18">
        <f t="shared" si="3"/>
        <v>104850</v>
      </c>
      <c r="W23" s="24">
        <v>0</v>
      </c>
      <c r="X23" s="18">
        <f t="shared" si="22"/>
        <v>104850</v>
      </c>
      <c r="Y23" s="13">
        <v>8110045316</v>
      </c>
      <c r="Z23" s="14">
        <v>46127</v>
      </c>
      <c r="AA23" s="13" t="s">
        <v>326</v>
      </c>
      <c r="AB23" s="13">
        <f>13.75+9.52</f>
        <v>23.27</v>
      </c>
      <c r="AC23" s="13" t="s">
        <v>110</v>
      </c>
      <c r="AD23" s="13" t="s">
        <v>110</v>
      </c>
      <c r="AE23" s="13" t="s">
        <v>110</v>
      </c>
      <c r="AF23" s="13" t="s">
        <v>110</v>
      </c>
      <c r="AG23" s="13" t="s">
        <v>110</v>
      </c>
      <c r="AH23" s="13" t="s">
        <v>110</v>
      </c>
      <c r="AI23" s="13" t="s">
        <v>110</v>
      </c>
      <c r="AJ23" s="13" t="s">
        <v>110</v>
      </c>
      <c r="AK23" s="13">
        <v>23270</v>
      </c>
      <c r="AL23" s="13" t="s">
        <v>327</v>
      </c>
      <c r="AM23" s="13" t="s">
        <v>112</v>
      </c>
      <c r="AN23" s="16">
        <v>34063</v>
      </c>
      <c r="AO23" s="16" t="s">
        <v>317</v>
      </c>
      <c r="AP23" s="13" t="s">
        <v>115</v>
      </c>
      <c r="AQ23" s="13" t="s">
        <v>116</v>
      </c>
      <c r="AR23" s="13" t="s">
        <v>116</v>
      </c>
      <c r="AS23" s="13">
        <v>72042190</v>
      </c>
      <c r="AT23" s="13" t="s">
        <v>117</v>
      </c>
      <c r="AU23" s="13" t="s">
        <v>328</v>
      </c>
      <c r="AV23" s="13" t="s">
        <v>119</v>
      </c>
      <c r="AW23" s="18">
        <v>800</v>
      </c>
      <c r="AX23" s="13" t="s">
        <v>329</v>
      </c>
      <c r="AY23" s="13">
        <v>9000099627</v>
      </c>
      <c r="AZ23" s="14">
        <v>46141</v>
      </c>
      <c r="BA23" s="13">
        <f>13.75+9.52</f>
        <v>23.27</v>
      </c>
      <c r="BB23" s="24">
        <f>((13.75*11100)+(9.52*2550))/23.27</f>
        <v>7602.1057155135368</v>
      </c>
      <c r="BC23" s="18">
        <v>0</v>
      </c>
      <c r="BD23" s="24">
        <v>96.052499999999995</v>
      </c>
      <c r="BE23" s="18">
        <f t="shared" si="15"/>
        <v>176901</v>
      </c>
      <c r="BF23" s="18">
        <v>0</v>
      </c>
      <c r="BG23" s="13" t="s">
        <v>110</v>
      </c>
      <c r="BH23" s="20">
        <f t="shared" si="21"/>
        <v>176901</v>
      </c>
      <c r="BI23" s="24">
        <f t="shared" si="5"/>
        <v>17336298</v>
      </c>
      <c r="BJ23" s="18">
        <f t="shared" si="17"/>
        <v>176901</v>
      </c>
      <c r="BK23" s="24">
        <f t="shared" si="6"/>
        <v>19408836.652275</v>
      </c>
      <c r="BL23" s="24">
        <f>BJ23*BD23</f>
        <v>16991783.302499998</v>
      </c>
      <c r="BM23" s="14">
        <v>46160</v>
      </c>
      <c r="BN23" s="18">
        <v>0</v>
      </c>
      <c r="BO23" s="18">
        <v>0</v>
      </c>
      <c r="BP23" s="24">
        <f t="shared" si="19"/>
        <v>0</v>
      </c>
      <c r="BQ23" s="13">
        <f>21491.78+5166.52</f>
        <v>26658.3</v>
      </c>
      <c r="BR23" s="13" t="s">
        <v>122</v>
      </c>
      <c r="BS23" s="13" t="s">
        <v>169</v>
      </c>
      <c r="BT23" s="13" t="s">
        <v>124</v>
      </c>
      <c r="BU23" s="13" t="s">
        <v>299</v>
      </c>
      <c r="BV23" s="13" t="s">
        <v>126</v>
      </c>
      <c r="BW23" s="13" t="s">
        <v>127</v>
      </c>
      <c r="BX23" s="13" t="s">
        <v>330</v>
      </c>
      <c r="BY23" s="13" t="s">
        <v>124</v>
      </c>
      <c r="BZ23" s="13">
        <v>32503.25</v>
      </c>
      <c r="CA23" s="18" t="s">
        <v>130</v>
      </c>
      <c r="CB23" s="22" t="s">
        <v>110</v>
      </c>
      <c r="CC23" s="33" t="s">
        <v>110</v>
      </c>
      <c r="CD23" s="18" t="s">
        <v>110</v>
      </c>
      <c r="CE23" s="24" t="s">
        <v>124</v>
      </c>
      <c r="CF23" s="13" t="s">
        <v>124</v>
      </c>
      <c r="CG23" s="13">
        <v>9155736</v>
      </c>
      <c r="CH23" s="13" t="s">
        <v>100</v>
      </c>
      <c r="CI23" s="24">
        <v>95.15</v>
      </c>
      <c r="CJ23" s="24">
        <f t="shared" si="8"/>
        <v>2072538.6522749998</v>
      </c>
      <c r="CK23" s="24">
        <v>176901</v>
      </c>
      <c r="CL23" s="24">
        <f t="shared" si="14"/>
        <v>16832130</v>
      </c>
      <c r="CM23" s="18">
        <v>0</v>
      </c>
      <c r="CN23" s="18">
        <f t="shared" si="9"/>
        <v>16832130</v>
      </c>
      <c r="CO23" s="18">
        <f t="shared" si="10"/>
        <v>3029783.4</v>
      </c>
      <c r="CP23" s="18">
        <v>12451</v>
      </c>
      <c r="CQ23" s="18">
        <f t="shared" si="11"/>
        <v>3042234</v>
      </c>
      <c r="CR23" s="24">
        <f>14932+700+24800+19870</f>
        <v>60302</v>
      </c>
      <c r="CS23" s="14">
        <v>46165</v>
      </c>
      <c r="CT23" s="13" t="s">
        <v>110</v>
      </c>
      <c r="CU23" s="13" t="s">
        <v>331</v>
      </c>
    </row>
    <row r="24" spans="1:100" s="13" customFormat="1" ht="100.8">
      <c r="A24" s="12" t="s">
        <v>288</v>
      </c>
      <c r="B24" s="13" t="str">
        <f t="shared" si="12"/>
        <v>972627</v>
      </c>
      <c r="C24" s="13" t="s">
        <v>96</v>
      </c>
      <c r="D24" s="13" t="s">
        <v>97</v>
      </c>
      <c r="E24" s="42" t="s">
        <v>332</v>
      </c>
      <c r="F24" s="43">
        <v>46205</v>
      </c>
      <c r="G24" s="43">
        <f t="shared" si="18"/>
        <v>46218</v>
      </c>
      <c r="H24" s="15" t="s">
        <v>99</v>
      </c>
      <c r="I24" s="15" t="s">
        <v>100</v>
      </c>
      <c r="J24" s="15" t="s">
        <v>100</v>
      </c>
      <c r="K24" s="43">
        <v>46194</v>
      </c>
      <c r="L24" s="42">
        <v>1620021098</v>
      </c>
      <c r="M24" s="13">
        <f t="shared" si="13"/>
        <v>2</v>
      </c>
      <c r="N24" s="43">
        <v>46125</v>
      </c>
      <c r="O24" s="30" t="s">
        <v>101</v>
      </c>
      <c r="P24" s="16" t="s">
        <v>102</v>
      </c>
      <c r="Q24" s="39" t="s">
        <v>333</v>
      </c>
      <c r="R24" s="44" t="s">
        <v>334</v>
      </c>
      <c r="S24" s="13" t="s">
        <v>274</v>
      </c>
      <c r="T24" s="13">
        <v>100</v>
      </c>
      <c r="U24" s="24">
        <v>1280</v>
      </c>
      <c r="V24" s="18">
        <f t="shared" si="3"/>
        <v>128000</v>
      </c>
      <c r="W24" s="24">
        <v>0</v>
      </c>
      <c r="X24" s="18">
        <f t="shared" si="22"/>
        <v>128000</v>
      </c>
      <c r="Y24" s="16" t="s">
        <v>335</v>
      </c>
      <c r="Z24" s="14">
        <v>46127</v>
      </c>
      <c r="AA24" s="13" t="s">
        <v>336</v>
      </c>
      <c r="AB24" s="13">
        <v>23.84</v>
      </c>
      <c r="AC24" s="13" t="s">
        <v>337</v>
      </c>
      <c r="AD24" s="13">
        <v>24.04</v>
      </c>
      <c r="AE24" s="13" t="s">
        <v>110</v>
      </c>
      <c r="AF24" s="13" t="s">
        <v>110</v>
      </c>
      <c r="AG24" s="13" t="s">
        <v>110</v>
      </c>
      <c r="AH24" s="13" t="s">
        <v>110</v>
      </c>
      <c r="AI24" s="13" t="s">
        <v>110</v>
      </c>
      <c r="AJ24" s="13" t="s">
        <v>110</v>
      </c>
      <c r="AK24" s="13">
        <v>47880</v>
      </c>
      <c r="AL24" s="13" t="s">
        <v>338</v>
      </c>
      <c r="AM24" s="13" t="s">
        <v>112</v>
      </c>
      <c r="AN24" s="16">
        <v>34069</v>
      </c>
      <c r="AO24" s="13" t="s">
        <v>255</v>
      </c>
      <c r="AP24" s="13" t="s">
        <v>115</v>
      </c>
      <c r="AQ24" s="13" t="s">
        <v>116</v>
      </c>
      <c r="AR24" s="13" t="s">
        <v>116</v>
      </c>
      <c r="AS24" s="13">
        <v>72044900</v>
      </c>
      <c r="AT24" s="13" t="s">
        <v>117</v>
      </c>
      <c r="AU24" s="13" t="s">
        <v>339</v>
      </c>
      <c r="AV24" s="13" t="s">
        <v>119</v>
      </c>
      <c r="AW24" s="18">
        <v>800</v>
      </c>
      <c r="AX24" s="13" t="s">
        <v>340</v>
      </c>
      <c r="AY24" s="13">
        <v>9000101819</v>
      </c>
      <c r="AZ24" s="14">
        <v>46194</v>
      </c>
      <c r="BA24" s="13">
        <v>47.88</v>
      </c>
      <c r="BB24" s="24">
        <v>1280</v>
      </c>
      <c r="BC24" s="18">
        <v>88.784999999999997</v>
      </c>
      <c r="BD24" s="24">
        <v>95.27</v>
      </c>
      <c r="BE24" s="18">
        <f t="shared" si="15"/>
        <v>61286.400000000001</v>
      </c>
      <c r="BF24" s="18">
        <v>7012.71</v>
      </c>
      <c r="BG24" s="14">
        <v>45979</v>
      </c>
      <c r="BH24" s="20">
        <f>BE24-BF24</f>
        <v>54273.69</v>
      </c>
      <c r="BI24" s="24">
        <f t="shared" si="5"/>
        <v>5318821.62</v>
      </c>
      <c r="BJ24" s="18">
        <f t="shared" si="17"/>
        <v>54273.69</v>
      </c>
      <c r="BK24" s="24">
        <f t="shared" si="6"/>
        <v>6412076.00208</v>
      </c>
      <c r="BL24" s="24">
        <f>BJ24*BD24</f>
        <v>5170654.4463</v>
      </c>
      <c r="BM24" s="14">
        <v>46210</v>
      </c>
      <c r="BN24" s="18">
        <v>7100</v>
      </c>
      <c r="BO24" s="24">
        <f>BN24*BC24</f>
        <v>630373.5</v>
      </c>
      <c r="BP24" s="24">
        <f t="shared" si="19"/>
        <v>87.289999999999964</v>
      </c>
      <c r="BQ24" s="24">
        <f>3651.87+6533.61+9670.65+3038.72</f>
        <v>22894.85</v>
      </c>
      <c r="BR24" s="12" t="s">
        <v>122</v>
      </c>
      <c r="BS24" s="13" t="s">
        <v>169</v>
      </c>
      <c r="BT24" s="13" t="s">
        <v>124</v>
      </c>
      <c r="BU24" s="13" t="s">
        <v>209</v>
      </c>
      <c r="BV24" s="13" t="s">
        <v>126</v>
      </c>
      <c r="BW24" s="13" t="s">
        <v>127</v>
      </c>
      <c r="BX24" s="13" t="s">
        <v>341</v>
      </c>
      <c r="BY24" s="13" t="s">
        <v>124</v>
      </c>
      <c r="BZ24" s="24">
        <f>4500+14500+500+1500+400+2000+500+5000+170+430+1000</f>
        <v>30500</v>
      </c>
      <c r="CA24" s="18" t="s">
        <v>130</v>
      </c>
      <c r="CB24" s="22" t="s">
        <v>110</v>
      </c>
      <c r="CC24" s="33" t="s">
        <v>110</v>
      </c>
      <c r="CD24" s="18" t="s">
        <v>110</v>
      </c>
      <c r="CE24" s="24" t="s">
        <v>124</v>
      </c>
      <c r="CF24" s="13" t="s">
        <v>124</v>
      </c>
      <c r="CG24" s="13">
        <v>2265914</v>
      </c>
      <c r="CH24" s="13" t="s">
        <v>100</v>
      </c>
      <c r="CI24" s="24">
        <v>95.3</v>
      </c>
      <c r="CJ24" s="24">
        <f t="shared" si="8"/>
        <v>1093254.3820799999</v>
      </c>
      <c r="CK24" s="24">
        <v>61286.400000000001</v>
      </c>
      <c r="CL24" s="24">
        <f t="shared" si="14"/>
        <v>5840594</v>
      </c>
      <c r="CM24" s="18">
        <v>0</v>
      </c>
      <c r="CN24" s="18">
        <f t="shared" si="9"/>
        <v>5840594</v>
      </c>
      <c r="CO24" s="18">
        <f t="shared" si="10"/>
        <v>1051306.92</v>
      </c>
      <c r="CP24" s="18">
        <v>2160</v>
      </c>
      <c r="CQ24" s="18">
        <f t="shared" si="11"/>
        <v>1053467</v>
      </c>
      <c r="CR24" s="24">
        <f>13000+13000+3180+3180+700+700+53100+6900</f>
        <v>93760</v>
      </c>
      <c r="CS24" s="14">
        <v>46215</v>
      </c>
      <c r="CT24" s="13" t="s">
        <v>342</v>
      </c>
      <c r="CU24" s="13" t="s">
        <v>343</v>
      </c>
      <c r="CV24" s="16" t="s">
        <v>344</v>
      </c>
    </row>
    <row r="25" spans="1:100" s="13" customFormat="1" ht="43.2">
      <c r="A25" s="12" t="s">
        <v>288</v>
      </c>
      <c r="B25" s="13" t="str">
        <f t="shared" si="12"/>
        <v>982627</v>
      </c>
      <c r="C25" s="13" t="s">
        <v>96</v>
      </c>
      <c r="D25" s="13" t="s">
        <v>97</v>
      </c>
      <c r="E25" s="42" t="s">
        <v>345</v>
      </c>
      <c r="F25" s="43">
        <v>46207</v>
      </c>
      <c r="G25" s="43">
        <f t="shared" si="18"/>
        <v>46220</v>
      </c>
      <c r="H25" s="15" t="s">
        <v>99</v>
      </c>
      <c r="I25" s="15" t="s">
        <v>100</v>
      </c>
      <c r="J25" s="15" t="s">
        <v>100</v>
      </c>
      <c r="K25" s="43">
        <v>46194</v>
      </c>
      <c r="L25" s="42">
        <v>1620021098</v>
      </c>
      <c r="M25" s="13">
        <f t="shared" si="13"/>
        <v>2</v>
      </c>
      <c r="N25" s="43">
        <v>46125</v>
      </c>
      <c r="O25" s="30" t="s">
        <v>101</v>
      </c>
      <c r="P25" s="16" t="s">
        <v>102</v>
      </c>
      <c r="Q25" s="39" t="s">
        <v>333</v>
      </c>
      <c r="R25" s="44" t="s">
        <v>334</v>
      </c>
      <c r="S25" s="13" t="s">
        <v>274</v>
      </c>
      <c r="T25" s="13">
        <v>100</v>
      </c>
      <c r="U25" s="24">
        <v>1280</v>
      </c>
      <c r="V25" s="18">
        <f t="shared" si="3"/>
        <v>128000</v>
      </c>
      <c r="W25" s="24">
        <v>0</v>
      </c>
      <c r="X25" s="18">
        <f t="shared" si="22"/>
        <v>128000</v>
      </c>
      <c r="Y25" s="16" t="s">
        <v>346</v>
      </c>
      <c r="Z25" s="14">
        <v>46128</v>
      </c>
      <c r="AA25" s="13" t="s">
        <v>347</v>
      </c>
      <c r="AB25" s="45">
        <v>23.4</v>
      </c>
      <c r="AC25" s="13" t="s">
        <v>348</v>
      </c>
      <c r="AD25" s="13">
        <v>23.95</v>
      </c>
      <c r="AE25" s="13" t="s">
        <v>110</v>
      </c>
      <c r="AF25" s="13" t="s">
        <v>110</v>
      </c>
      <c r="AG25" s="13" t="s">
        <v>110</v>
      </c>
      <c r="AH25" s="13" t="s">
        <v>110</v>
      </c>
      <c r="AI25" s="13" t="s">
        <v>110</v>
      </c>
      <c r="AJ25" s="13" t="s">
        <v>110</v>
      </c>
      <c r="AK25" s="13">
        <v>47350</v>
      </c>
      <c r="AL25" s="13" t="s">
        <v>338</v>
      </c>
      <c r="AM25" s="13" t="s">
        <v>112</v>
      </c>
      <c r="AN25" s="16" t="s">
        <v>349</v>
      </c>
      <c r="AO25" s="13" t="s">
        <v>350</v>
      </c>
      <c r="AP25" s="13" t="s">
        <v>115</v>
      </c>
      <c r="AQ25" s="13" t="s">
        <v>116</v>
      </c>
      <c r="AR25" s="13" t="s">
        <v>116</v>
      </c>
      <c r="AS25" s="13">
        <v>72044900</v>
      </c>
      <c r="AT25" s="13" t="s">
        <v>117</v>
      </c>
      <c r="AU25" s="13" t="s">
        <v>351</v>
      </c>
      <c r="AV25" s="13" t="s">
        <v>119</v>
      </c>
      <c r="AW25" s="18">
        <v>800</v>
      </c>
      <c r="AX25" s="13" t="s">
        <v>352</v>
      </c>
      <c r="AY25" s="16" t="s">
        <v>353</v>
      </c>
      <c r="AZ25" s="14">
        <v>46194</v>
      </c>
      <c r="BA25" s="13">
        <f>23.95+23.4</f>
        <v>47.349999999999994</v>
      </c>
      <c r="BB25" s="24">
        <v>1280</v>
      </c>
      <c r="BC25" s="24">
        <v>0</v>
      </c>
      <c r="BD25" s="24">
        <v>95.27</v>
      </c>
      <c r="BE25" s="18">
        <f t="shared" si="15"/>
        <v>60607.999999999993</v>
      </c>
      <c r="BF25" s="18">
        <v>0</v>
      </c>
      <c r="BG25" s="13" t="s">
        <v>110</v>
      </c>
      <c r="BH25" s="20">
        <f>BE25-BF25</f>
        <v>60607.999999999993</v>
      </c>
      <c r="BI25" s="24">
        <f t="shared" si="5"/>
        <v>5939583.9999999991</v>
      </c>
      <c r="BJ25" s="24">
        <f t="shared" si="17"/>
        <v>60607.999999999993</v>
      </c>
      <c r="BK25" s="24">
        <f t="shared" si="6"/>
        <v>7020736.7775999987</v>
      </c>
      <c r="BL25" s="24">
        <f>BJ25*BD25</f>
        <v>5774124.1599999992</v>
      </c>
      <c r="BM25" s="14">
        <v>46210</v>
      </c>
      <c r="BN25" s="24">
        <v>0</v>
      </c>
      <c r="BO25" s="24">
        <v>0</v>
      </c>
      <c r="BP25" s="24">
        <f t="shared" si="19"/>
        <v>0</v>
      </c>
      <c r="BQ25" s="24">
        <f>10274.12+3147.34</f>
        <v>13421.460000000001</v>
      </c>
      <c r="BR25" s="12" t="s">
        <v>122</v>
      </c>
      <c r="BS25" s="13" t="s">
        <v>169</v>
      </c>
      <c r="BT25" s="13" t="s">
        <v>124</v>
      </c>
      <c r="BU25" s="13" t="s">
        <v>209</v>
      </c>
      <c r="BV25" s="13" t="s">
        <v>354</v>
      </c>
      <c r="BW25" s="46" t="s">
        <v>355</v>
      </c>
      <c r="BX25" s="13">
        <v>167</v>
      </c>
      <c r="BY25" s="13" t="s">
        <v>124</v>
      </c>
      <c r="BZ25" s="24">
        <f>4500+29000+1000+3000+800+4000+1000+10000+340+860+2000+1828.68+3657.36</f>
        <v>61986.04</v>
      </c>
      <c r="CA25" s="18" t="s">
        <v>130</v>
      </c>
      <c r="CB25" s="22" t="s">
        <v>110</v>
      </c>
      <c r="CC25" s="33" t="s">
        <v>110</v>
      </c>
      <c r="CD25" s="18" t="s">
        <v>110</v>
      </c>
      <c r="CE25" s="24" t="s">
        <v>124</v>
      </c>
      <c r="CF25" s="13" t="s">
        <v>124</v>
      </c>
      <c r="CG25" s="13">
        <v>2158391</v>
      </c>
      <c r="CH25" s="13" t="s">
        <v>100</v>
      </c>
      <c r="CI25" s="24">
        <v>95.3</v>
      </c>
      <c r="CJ25" s="24">
        <f t="shared" si="8"/>
        <v>1081152.7775999999</v>
      </c>
      <c r="CK25" s="24">
        <v>60608</v>
      </c>
      <c r="CL25" s="24">
        <f t="shared" si="14"/>
        <v>5775942</v>
      </c>
      <c r="CM25" s="18">
        <v>0</v>
      </c>
      <c r="CN25" s="18">
        <f t="shared" si="9"/>
        <v>5775942</v>
      </c>
      <c r="CO25" s="18">
        <f t="shared" si="10"/>
        <v>1039669.5599999999</v>
      </c>
      <c r="CP25" s="18">
        <v>2136</v>
      </c>
      <c r="CQ25" s="18">
        <f t="shared" si="11"/>
        <v>1041806</v>
      </c>
      <c r="CR25" s="24">
        <f>29000+22200+16000+20409</f>
        <v>87609</v>
      </c>
      <c r="CS25" s="14">
        <v>46214</v>
      </c>
      <c r="CT25" s="13" t="s">
        <v>110</v>
      </c>
      <c r="CU25" s="13" t="s">
        <v>356</v>
      </c>
    </row>
    <row r="26" spans="1:100" s="13" customFormat="1" ht="43.2">
      <c r="A26" s="12" t="s">
        <v>288</v>
      </c>
      <c r="B26" s="13" t="str">
        <f t="shared" si="12"/>
        <v>A13312</v>
      </c>
      <c r="C26" s="13" t="s">
        <v>96</v>
      </c>
      <c r="D26" s="13" t="s">
        <v>97</v>
      </c>
      <c r="E26" s="42" t="s">
        <v>357</v>
      </c>
      <c r="F26" s="43">
        <v>46200</v>
      </c>
      <c r="G26" s="43">
        <f t="shared" si="18"/>
        <v>46213</v>
      </c>
      <c r="H26" s="15" t="s">
        <v>99</v>
      </c>
      <c r="I26" s="15" t="s">
        <v>100</v>
      </c>
      <c r="J26" s="15" t="s">
        <v>100</v>
      </c>
      <c r="K26" s="43">
        <v>46262</v>
      </c>
      <c r="L26" s="42">
        <v>1620021156</v>
      </c>
      <c r="M26" s="13">
        <f t="shared" si="13"/>
        <v>1</v>
      </c>
      <c r="N26" s="43">
        <v>46140</v>
      </c>
      <c r="O26" s="30" t="s">
        <v>101</v>
      </c>
      <c r="P26" s="16" t="s">
        <v>102</v>
      </c>
      <c r="Q26" s="39" t="s">
        <v>290</v>
      </c>
      <c r="R26" s="42" t="s">
        <v>291</v>
      </c>
      <c r="S26" s="29" t="s">
        <v>292</v>
      </c>
      <c r="T26" s="24">
        <v>22</v>
      </c>
      <c r="U26" s="24">
        <v>985</v>
      </c>
      <c r="V26" s="18">
        <f t="shared" si="3"/>
        <v>21670</v>
      </c>
      <c r="W26" s="24">
        <v>0</v>
      </c>
      <c r="X26" s="18">
        <f t="shared" si="22"/>
        <v>21670</v>
      </c>
      <c r="Y26" s="13">
        <v>8110045548</v>
      </c>
      <c r="Z26" s="14">
        <v>46144</v>
      </c>
      <c r="AA26" s="13" t="s">
        <v>358</v>
      </c>
      <c r="AB26" s="13">
        <v>20.462</v>
      </c>
      <c r="AC26" s="13" t="s">
        <v>110</v>
      </c>
      <c r="AD26" s="13" t="s">
        <v>110</v>
      </c>
      <c r="AE26" s="13" t="s">
        <v>110</v>
      </c>
      <c r="AF26" s="13" t="s">
        <v>110</v>
      </c>
      <c r="AG26" s="13" t="s">
        <v>110</v>
      </c>
      <c r="AH26" s="13" t="s">
        <v>110</v>
      </c>
      <c r="AI26" s="13" t="s">
        <v>110</v>
      </c>
      <c r="AJ26" s="13" t="s">
        <v>110</v>
      </c>
      <c r="AK26" s="13">
        <v>20462</v>
      </c>
      <c r="AL26" s="13" t="s">
        <v>359</v>
      </c>
      <c r="AM26" s="13" t="s">
        <v>246</v>
      </c>
      <c r="AN26" s="47" t="s">
        <v>360</v>
      </c>
      <c r="AO26" s="16" t="s">
        <v>361</v>
      </c>
      <c r="AP26" s="13" t="s">
        <v>115</v>
      </c>
      <c r="AQ26" s="13" t="s">
        <v>116</v>
      </c>
      <c r="AR26" s="13" t="s">
        <v>362</v>
      </c>
      <c r="AS26" s="13">
        <v>72042190</v>
      </c>
      <c r="AT26" s="13" t="s">
        <v>117</v>
      </c>
      <c r="AU26" s="13" t="s">
        <v>363</v>
      </c>
      <c r="AV26" s="13" t="s">
        <v>119</v>
      </c>
      <c r="AW26" s="18">
        <v>1600</v>
      </c>
      <c r="AX26" s="16" t="s">
        <v>364</v>
      </c>
      <c r="AY26" s="13">
        <v>9000100539</v>
      </c>
      <c r="AZ26" s="14">
        <v>46167</v>
      </c>
      <c r="BA26" s="13">
        <v>20.462</v>
      </c>
      <c r="BB26" s="24">
        <v>985</v>
      </c>
      <c r="BC26" s="24">
        <v>0</v>
      </c>
      <c r="BD26" s="24">
        <v>95.864999999999995</v>
      </c>
      <c r="BE26" s="18">
        <f t="shared" si="15"/>
        <v>20155.07</v>
      </c>
      <c r="BF26" s="18">
        <v>0</v>
      </c>
      <c r="BG26" s="13" t="s">
        <v>110</v>
      </c>
      <c r="BH26" s="20">
        <f t="shared" si="21"/>
        <v>20155.07</v>
      </c>
      <c r="BI26" s="24">
        <f t="shared" si="5"/>
        <v>1975196.8599999999</v>
      </c>
      <c r="BJ26" s="18">
        <f t="shared" si="17"/>
        <v>20155.07</v>
      </c>
      <c r="BK26" s="24">
        <f t="shared" si="6"/>
        <v>2334732.0684415</v>
      </c>
      <c r="BL26" s="24">
        <f>BJ26*BD26</f>
        <v>1932165.7855499999</v>
      </c>
      <c r="BM26" s="14">
        <v>46116</v>
      </c>
      <c r="BN26" s="24">
        <v>0</v>
      </c>
      <c r="BO26" s="24">
        <v>6432.17</v>
      </c>
      <c r="BP26" s="24">
        <f t="shared" si="19"/>
        <v>0</v>
      </c>
      <c r="BQ26" s="24">
        <v>2455.7800000000002</v>
      </c>
      <c r="BR26" s="13" t="s">
        <v>122</v>
      </c>
      <c r="BS26" s="13" t="s">
        <v>169</v>
      </c>
      <c r="BT26" s="13" t="s">
        <v>124</v>
      </c>
      <c r="BU26" s="13" t="s">
        <v>365</v>
      </c>
      <c r="BV26" s="13" t="s">
        <v>126</v>
      </c>
      <c r="BW26" s="13" t="s">
        <v>127</v>
      </c>
      <c r="BX26" s="13" t="s">
        <v>366</v>
      </c>
      <c r="BY26" s="13" t="s">
        <v>124</v>
      </c>
      <c r="BZ26" s="41">
        <f>92262+18471</f>
        <v>110733</v>
      </c>
      <c r="CA26" s="18" t="s">
        <v>130</v>
      </c>
      <c r="CB26" s="22" t="s">
        <v>110</v>
      </c>
      <c r="CC26" s="33" t="s">
        <v>110</v>
      </c>
      <c r="CD26" s="18" t="s">
        <v>110</v>
      </c>
      <c r="CE26" s="24" t="s">
        <v>124</v>
      </c>
      <c r="CF26" s="13" t="s">
        <v>124</v>
      </c>
      <c r="CG26" s="13">
        <v>9701983</v>
      </c>
      <c r="CH26" s="13" t="s">
        <v>100</v>
      </c>
      <c r="CI26" s="24">
        <v>96.6</v>
      </c>
      <c r="CJ26" s="24">
        <f t="shared" si="8"/>
        <v>359535.20844149997</v>
      </c>
      <c r="CK26" s="24">
        <v>20155.07</v>
      </c>
      <c r="CL26" s="24">
        <f t="shared" si="14"/>
        <v>1946980</v>
      </c>
      <c r="CM26" s="18">
        <v>0</v>
      </c>
      <c r="CN26" s="18">
        <f t="shared" si="9"/>
        <v>1946980</v>
      </c>
      <c r="CO26" s="18">
        <f t="shared" si="10"/>
        <v>350456.39999999997</v>
      </c>
      <c r="CP26" s="24">
        <v>3601</v>
      </c>
      <c r="CQ26" s="18">
        <f t="shared" si="11"/>
        <v>354057</v>
      </c>
      <c r="CR26" s="24"/>
      <c r="CS26" s="14">
        <v>46205</v>
      </c>
      <c r="CT26" s="13" t="s">
        <v>110</v>
      </c>
      <c r="CU26" s="13" t="s">
        <v>367</v>
      </c>
    </row>
    <row r="27" spans="1:100" s="13" customFormat="1" ht="28.8">
      <c r="A27" s="12" t="s">
        <v>288</v>
      </c>
      <c r="B27" s="13" t="str">
        <f t="shared" si="12"/>
        <v>452526</v>
      </c>
      <c r="C27" s="13" t="s">
        <v>96</v>
      </c>
      <c r="D27" s="13" t="s">
        <v>97</v>
      </c>
      <c r="E27" s="42" t="s">
        <v>368</v>
      </c>
      <c r="F27" s="14">
        <v>46136</v>
      </c>
      <c r="G27" s="14">
        <f t="shared" si="18"/>
        <v>46149</v>
      </c>
      <c r="H27" s="15" t="s">
        <v>99</v>
      </c>
      <c r="I27" s="15" t="s">
        <v>100</v>
      </c>
      <c r="J27" s="15" t="s">
        <v>100</v>
      </c>
      <c r="K27" s="43">
        <v>46125</v>
      </c>
      <c r="L27" s="42">
        <v>1620020985</v>
      </c>
      <c r="M27" s="13">
        <f t="shared" si="13"/>
        <v>1</v>
      </c>
      <c r="N27" s="43">
        <v>46084</v>
      </c>
      <c r="O27" s="30" t="s">
        <v>369</v>
      </c>
      <c r="P27" s="16" t="s">
        <v>370</v>
      </c>
      <c r="Q27" s="39" t="s">
        <v>371</v>
      </c>
      <c r="R27" s="42" t="s">
        <v>372</v>
      </c>
      <c r="S27" s="13" t="s">
        <v>373</v>
      </c>
      <c r="T27" s="13">
        <v>50</v>
      </c>
      <c r="U27" s="24">
        <v>2525</v>
      </c>
      <c r="V27" s="24">
        <f t="shared" si="3"/>
        <v>126250</v>
      </c>
      <c r="W27" s="24">
        <v>0</v>
      </c>
      <c r="X27" s="18">
        <f t="shared" si="22"/>
        <v>126250</v>
      </c>
      <c r="Y27" s="13" t="s">
        <v>110</v>
      </c>
      <c r="Z27" s="13" t="s">
        <v>110</v>
      </c>
      <c r="AA27" s="13" t="s">
        <v>374</v>
      </c>
      <c r="AB27" s="13">
        <v>24.01</v>
      </c>
      <c r="AC27" s="13" t="s">
        <v>110</v>
      </c>
      <c r="AD27" s="13" t="s">
        <v>110</v>
      </c>
      <c r="AE27" s="13" t="s">
        <v>110</v>
      </c>
      <c r="AF27" s="13" t="s">
        <v>110</v>
      </c>
      <c r="AG27" s="13" t="s">
        <v>110</v>
      </c>
      <c r="AH27" s="13" t="s">
        <v>110</v>
      </c>
      <c r="AI27" s="13" t="s">
        <v>110</v>
      </c>
      <c r="AJ27" s="13" t="s">
        <v>110</v>
      </c>
      <c r="AK27" s="13">
        <v>24010</v>
      </c>
      <c r="AL27" s="13" t="s">
        <v>110</v>
      </c>
      <c r="AM27" s="13" t="s">
        <v>112</v>
      </c>
      <c r="AN27" s="48" t="s">
        <v>375</v>
      </c>
      <c r="AO27" s="13" t="s">
        <v>376</v>
      </c>
      <c r="AP27" s="13" t="s">
        <v>115</v>
      </c>
      <c r="AQ27" s="13" t="s">
        <v>116</v>
      </c>
      <c r="AR27" s="13" t="s">
        <v>116</v>
      </c>
      <c r="AS27" s="13">
        <v>72042190</v>
      </c>
      <c r="AT27" s="13" t="s">
        <v>117</v>
      </c>
      <c r="AU27" s="13" t="s">
        <v>377</v>
      </c>
      <c r="AV27" s="13" t="s">
        <v>119</v>
      </c>
      <c r="AW27" s="24">
        <v>800</v>
      </c>
      <c r="AX27" s="13" t="s">
        <v>378</v>
      </c>
      <c r="AY27" s="13">
        <v>1</v>
      </c>
      <c r="AZ27" s="14">
        <v>46128</v>
      </c>
      <c r="BA27" s="13">
        <v>24.01</v>
      </c>
      <c r="BB27" s="24">
        <v>2525</v>
      </c>
      <c r="BC27" s="24">
        <v>0</v>
      </c>
      <c r="BD27" s="24">
        <v>95.4</v>
      </c>
      <c r="BE27" s="18">
        <f t="shared" si="15"/>
        <v>60625.250000000007</v>
      </c>
      <c r="BF27" s="18">
        <v>0</v>
      </c>
      <c r="BG27" s="13" t="s">
        <v>110</v>
      </c>
      <c r="BH27" s="20">
        <f t="shared" si="21"/>
        <v>60625.25</v>
      </c>
      <c r="BI27" s="24">
        <f t="shared" si="5"/>
        <v>5941274.5</v>
      </c>
      <c r="BJ27" s="18">
        <f t="shared" si="17"/>
        <v>60625.25</v>
      </c>
      <c r="BK27" s="24">
        <f t="shared" si="6"/>
        <v>7022734.9908624999</v>
      </c>
      <c r="BL27" s="49">
        <f>BE27*BD27</f>
        <v>5783648.8500000015</v>
      </c>
      <c r="BM27" s="14">
        <v>46135</v>
      </c>
      <c r="BN27" s="24">
        <v>0</v>
      </c>
      <c r="BO27" s="24">
        <v>0</v>
      </c>
      <c r="BP27" s="24">
        <f t="shared" si="19"/>
        <v>0</v>
      </c>
      <c r="BQ27" s="24">
        <v>0</v>
      </c>
      <c r="BR27" s="13" t="s">
        <v>122</v>
      </c>
      <c r="BS27" s="13" t="s">
        <v>169</v>
      </c>
      <c r="BT27" s="13" t="s">
        <v>124</v>
      </c>
      <c r="BU27" s="13" t="s">
        <v>125</v>
      </c>
      <c r="BV27" s="13" t="s">
        <v>126</v>
      </c>
      <c r="BW27" s="13" t="s">
        <v>127</v>
      </c>
      <c r="BX27" s="13" t="s">
        <v>379</v>
      </c>
      <c r="BY27" s="13" t="s">
        <v>380</v>
      </c>
      <c r="BZ27" s="24">
        <v>61500</v>
      </c>
      <c r="CA27" s="18" t="s">
        <v>130</v>
      </c>
      <c r="CB27" s="13" t="s">
        <v>110</v>
      </c>
      <c r="CC27" s="14" t="s">
        <v>110</v>
      </c>
      <c r="CD27" s="24">
        <v>0</v>
      </c>
      <c r="CE27" s="24">
        <v>25683</v>
      </c>
      <c r="CF27" s="16" t="s">
        <v>131</v>
      </c>
      <c r="CG27" s="13">
        <v>8835325</v>
      </c>
      <c r="CH27" s="13" t="s">
        <v>100</v>
      </c>
      <c r="CI27" s="26">
        <v>94.2</v>
      </c>
      <c r="CJ27" s="24">
        <f t="shared" si="8"/>
        <v>1081460.4908625002</v>
      </c>
      <c r="CK27" s="24">
        <v>60625.25</v>
      </c>
      <c r="CL27" s="24">
        <f t="shared" si="14"/>
        <v>5710899</v>
      </c>
      <c r="CM27" s="24">
        <v>0</v>
      </c>
      <c r="CN27" s="18">
        <f t="shared" si="9"/>
        <v>5710899</v>
      </c>
      <c r="CO27" s="18">
        <f t="shared" si="10"/>
        <v>1027961.82</v>
      </c>
      <c r="CP27" s="24">
        <v>4309</v>
      </c>
      <c r="CQ27" s="18">
        <f t="shared" si="11"/>
        <v>1032271</v>
      </c>
      <c r="CR27" s="24">
        <f>6880+13000+6200+700+12000+18000+1200+1000</f>
        <v>58980</v>
      </c>
      <c r="CS27" s="14">
        <v>46149</v>
      </c>
      <c r="CT27" s="13" t="s">
        <v>110</v>
      </c>
      <c r="CU27" s="13" t="s">
        <v>381</v>
      </c>
    </row>
    <row r="28" spans="1:100" s="13" customFormat="1" ht="28.8">
      <c r="A28" s="12" t="s">
        <v>288</v>
      </c>
      <c r="B28" s="13" t="str">
        <f t="shared" si="12"/>
        <v>462526</v>
      </c>
      <c r="C28" s="13" t="s">
        <v>96</v>
      </c>
      <c r="D28" s="13" t="s">
        <v>97</v>
      </c>
      <c r="E28" s="42" t="s">
        <v>382</v>
      </c>
      <c r="F28" s="14">
        <v>46136</v>
      </c>
      <c r="G28" s="14">
        <f t="shared" si="18"/>
        <v>46149</v>
      </c>
      <c r="H28" s="15" t="s">
        <v>99</v>
      </c>
      <c r="I28" s="15" t="s">
        <v>100</v>
      </c>
      <c r="J28" s="15" t="s">
        <v>100</v>
      </c>
      <c r="K28" s="43">
        <v>46125</v>
      </c>
      <c r="L28" s="42">
        <v>1620020985</v>
      </c>
      <c r="M28" s="13">
        <f t="shared" si="13"/>
        <v>1</v>
      </c>
      <c r="N28" s="43">
        <v>46084</v>
      </c>
      <c r="O28" s="30" t="s">
        <v>369</v>
      </c>
      <c r="P28" s="16" t="s">
        <v>370</v>
      </c>
      <c r="Q28" s="39" t="s">
        <v>371</v>
      </c>
      <c r="R28" s="42" t="s">
        <v>372</v>
      </c>
      <c r="S28" s="13" t="s">
        <v>373</v>
      </c>
      <c r="T28" s="13">
        <v>50</v>
      </c>
      <c r="U28" s="24">
        <v>2525</v>
      </c>
      <c r="V28" s="24">
        <f t="shared" si="3"/>
        <v>126250</v>
      </c>
      <c r="W28" s="24">
        <v>0</v>
      </c>
      <c r="X28" s="18">
        <f t="shared" si="22"/>
        <v>126250</v>
      </c>
      <c r="Y28" s="13" t="s">
        <v>110</v>
      </c>
      <c r="Z28" s="13" t="s">
        <v>110</v>
      </c>
      <c r="AA28" s="13" t="s">
        <v>383</v>
      </c>
      <c r="AB28" s="13">
        <v>24.82</v>
      </c>
      <c r="AC28" s="13" t="s">
        <v>110</v>
      </c>
      <c r="AD28" s="13" t="s">
        <v>110</v>
      </c>
      <c r="AE28" s="13" t="s">
        <v>110</v>
      </c>
      <c r="AF28" s="13" t="s">
        <v>110</v>
      </c>
      <c r="AG28" s="13" t="s">
        <v>110</v>
      </c>
      <c r="AH28" s="13" t="s">
        <v>110</v>
      </c>
      <c r="AI28" s="13" t="s">
        <v>110</v>
      </c>
      <c r="AJ28" s="13" t="s">
        <v>110</v>
      </c>
      <c r="AK28" s="13">
        <v>24820</v>
      </c>
      <c r="AL28" s="13" t="s">
        <v>110</v>
      </c>
      <c r="AM28" s="13" t="s">
        <v>112</v>
      </c>
      <c r="AN28" s="48" t="s">
        <v>384</v>
      </c>
      <c r="AO28" s="16" t="s">
        <v>385</v>
      </c>
      <c r="AP28" s="13" t="s">
        <v>115</v>
      </c>
      <c r="AQ28" s="13" t="s">
        <v>116</v>
      </c>
      <c r="AR28" s="13" t="s">
        <v>116</v>
      </c>
      <c r="AS28" s="13">
        <v>72042190</v>
      </c>
      <c r="AT28" s="13" t="s">
        <v>117</v>
      </c>
      <c r="AU28" s="13" t="s">
        <v>386</v>
      </c>
      <c r="AV28" s="13" t="s">
        <v>119</v>
      </c>
      <c r="AW28" s="24">
        <v>800</v>
      </c>
      <c r="AX28" s="13" t="s">
        <v>387</v>
      </c>
      <c r="AY28" s="13">
        <v>2</v>
      </c>
      <c r="AZ28" s="14">
        <v>46128</v>
      </c>
      <c r="BA28" s="13">
        <v>24.82</v>
      </c>
      <c r="BB28" s="24">
        <v>2525</v>
      </c>
      <c r="BC28" s="24">
        <v>0</v>
      </c>
      <c r="BD28" s="24">
        <v>95.5</v>
      </c>
      <c r="BE28" s="18">
        <f t="shared" si="15"/>
        <v>62670.5</v>
      </c>
      <c r="BF28" s="18">
        <v>0</v>
      </c>
      <c r="BG28" s="13" t="s">
        <v>110</v>
      </c>
      <c r="BH28" s="20">
        <f t="shared" si="21"/>
        <v>62670.5</v>
      </c>
      <c r="BI28" s="24">
        <f t="shared" si="5"/>
        <v>6141709</v>
      </c>
      <c r="BJ28" s="18">
        <f t="shared" si="17"/>
        <v>62670.5</v>
      </c>
      <c r="BK28" s="24">
        <f t="shared" si="6"/>
        <v>7259653.5807249993</v>
      </c>
      <c r="BL28" s="49">
        <f>BE28*BD28</f>
        <v>5985032.75</v>
      </c>
      <c r="BM28" s="14">
        <v>46135</v>
      </c>
      <c r="BN28" s="24">
        <v>0</v>
      </c>
      <c r="BO28" s="24">
        <v>0</v>
      </c>
      <c r="BP28" s="24">
        <f t="shared" si="19"/>
        <v>0</v>
      </c>
      <c r="BQ28" s="24">
        <v>0</v>
      </c>
      <c r="BR28" s="13" t="s">
        <v>122</v>
      </c>
      <c r="BS28" s="13" t="s">
        <v>169</v>
      </c>
      <c r="BT28" s="13" t="s">
        <v>124</v>
      </c>
      <c r="BU28" s="13" t="s">
        <v>125</v>
      </c>
      <c r="BV28" s="13" t="s">
        <v>126</v>
      </c>
      <c r="BW28" s="13" t="s">
        <v>127</v>
      </c>
      <c r="BX28" s="13" t="s">
        <v>388</v>
      </c>
      <c r="BY28" s="13" t="s">
        <v>380</v>
      </c>
      <c r="BZ28" s="24">
        <v>61500</v>
      </c>
      <c r="CA28" s="18" t="s">
        <v>130</v>
      </c>
      <c r="CB28" s="13" t="s">
        <v>110</v>
      </c>
      <c r="CC28" s="14" t="s">
        <v>110</v>
      </c>
      <c r="CD28" s="24">
        <v>0</v>
      </c>
      <c r="CE28" s="24">
        <v>33040</v>
      </c>
      <c r="CF28" s="16" t="s">
        <v>131</v>
      </c>
      <c r="CG28" s="13">
        <v>8835358</v>
      </c>
      <c r="CH28" s="13" t="s">
        <v>100</v>
      </c>
      <c r="CI28" s="26">
        <v>94.2</v>
      </c>
      <c r="CJ28" s="24">
        <f t="shared" si="8"/>
        <v>1117944.5807249998</v>
      </c>
      <c r="CK28" s="24">
        <v>62670.5</v>
      </c>
      <c r="CL28" s="24">
        <f t="shared" si="14"/>
        <v>5903561</v>
      </c>
      <c r="CM28" s="24">
        <v>0</v>
      </c>
      <c r="CN28" s="18">
        <f t="shared" si="9"/>
        <v>5903561</v>
      </c>
      <c r="CO28" s="18">
        <f t="shared" si="10"/>
        <v>1062640.98</v>
      </c>
      <c r="CP28" s="24">
        <v>4454</v>
      </c>
      <c r="CQ28" s="18">
        <f t="shared" si="11"/>
        <v>1067095</v>
      </c>
      <c r="CR28" s="24">
        <f>19200+700+34900+7110</f>
        <v>61910</v>
      </c>
      <c r="CS28" s="14">
        <v>46149</v>
      </c>
      <c r="CT28" s="13" t="s">
        <v>110</v>
      </c>
      <c r="CU28" s="13" t="s">
        <v>389</v>
      </c>
    </row>
    <row r="29" spans="1:100" s="13" customFormat="1" ht="43.2">
      <c r="A29" s="12" t="s">
        <v>288</v>
      </c>
      <c r="B29" s="13" t="str">
        <f t="shared" si="12"/>
        <v>KLFNSA</v>
      </c>
      <c r="C29" s="13" t="s">
        <v>96</v>
      </c>
      <c r="D29" s="13" t="s">
        <v>97</v>
      </c>
      <c r="E29" s="42" t="s">
        <v>390</v>
      </c>
      <c r="F29" s="14">
        <v>46161</v>
      </c>
      <c r="G29" s="14">
        <f t="shared" si="18"/>
        <v>46174</v>
      </c>
      <c r="H29" s="15" t="s">
        <v>99</v>
      </c>
      <c r="I29" s="15" t="s">
        <v>100</v>
      </c>
      <c r="J29" s="15" t="s">
        <v>100</v>
      </c>
      <c r="K29" s="43">
        <v>46151</v>
      </c>
      <c r="L29" s="42" t="s">
        <v>391</v>
      </c>
      <c r="M29" s="13">
        <f t="shared" si="13"/>
        <v>1</v>
      </c>
      <c r="N29" s="43">
        <v>46139</v>
      </c>
      <c r="O29" s="30" t="s">
        <v>392</v>
      </c>
      <c r="P29" s="42" t="s">
        <v>393</v>
      </c>
      <c r="Q29" s="50" t="s">
        <v>394</v>
      </c>
      <c r="R29" s="42" t="s">
        <v>395</v>
      </c>
      <c r="S29" s="16" t="s">
        <v>396</v>
      </c>
      <c r="T29" s="13">
        <v>14.39</v>
      </c>
      <c r="U29" s="24">
        <v>7250</v>
      </c>
      <c r="V29" s="24">
        <f t="shared" si="3"/>
        <v>104327.5</v>
      </c>
      <c r="W29" s="24">
        <v>0</v>
      </c>
      <c r="X29" s="24">
        <f t="shared" si="22"/>
        <v>104327.5</v>
      </c>
      <c r="Y29" s="13" t="s">
        <v>110</v>
      </c>
      <c r="Z29" s="13" t="s">
        <v>110</v>
      </c>
      <c r="AA29" s="13" t="s">
        <v>397</v>
      </c>
      <c r="AB29" s="13">
        <v>14.39</v>
      </c>
      <c r="AC29" s="13" t="s">
        <v>110</v>
      </c>
      <c r="AD29" s="13" t="s">
        <v>110</v>
      </c>
      <c r="AE29" s="13" t="s">
        <v>110</v>
      </c>
      <c r="AF29" s="13" t="s">
        <v>110</v>
      </c>
      <c r="AG29" s="13" t="s">
        <v>110</v>
      </c>
      <c r="AH29" s="13" t="s">
        <v>110</v>
      </c>
      <c r="AI29" s="13" t="s">
        <v>110</v>
      </c>
      <c r="AJ29" s="13" t="s">
        <v>110</v>
      </c>
      <c r="AK29" s="13">
        <v>14390</v>
      </c>
      <c r="AL29" s="13" t="s">
        <v>110</v>
      </c>
      <c r="AM29" s="13" t="s">
        <v>112</v>
      </c>
      <c r="AN29" s="16" t="s">
        <v>398</v>
      </c>
      <c r="AO29" s="16" t="s">
        <v>399</v>
      </c>
      <c r="AP29" s="16" t="s">
        <v>400</v>
      </c>
      <c r="AQ29" s="13" t="s">
        <v>116</v>
      </c>
      <c r="AR29" s="13" t="s">
        <v>116</v>
      </c>
      <c r="AS29" s="13">
        <v>75030010</v>
      </c>
      <c r="AU29" s="13" t="s">
        <v>401</v>
      </c>
      <c r="AV29" s="24" t="s">
        <v>110</v>
      </c>
      <c r="AW29" s="24" t="s">
        <v>110</v>
      </c>
      <c r="AX29" s="13" t="s">
        <v>110</v>
      </c>
      <c r="AY29" s="16" t="s">
        <v>402</v>
      </c>
      <c r="AZ29" s="14">
        <v>46139</v>
      </c>
      <c r="BA29" s="13">
        <v>14.39</v>
      </c>
      <c r="BB29" s="24">
        <v>7250</v>
      </c>
      <c r="BC29" s="24">
        <v>0</v>
      </c>
      <c r="BD29" s="24">
        <v>95.43</v>
      </c>
      <c r="BE29" s="18">
        <f t="shared" si="15"/>
        <v>104327.5</v>
      </c>
      <c r="BF29" s="18">
        <v>0</v>
      </c>
      <c r="BG29" s="13" t="s">
        <v>110</v>
      </c>
      <c r="BH29" s="20">
        <f t="shared" si="21"/>
        <v>104327.5</v>
      </c>
      <c r="BI29" s="24">
        <f t="shared" si="5"/>
        <v>10224095</v>
      </c>
      <c r="BJ29" s="20">
        <f t="shared" si="17"/>
        <v>104327.5</v>
      </c>
      <c r="BK29" s="24">
        <f t="shared" si="6"/>
        <v>12085135.892375</v>
      </c>
      <c r="BL29" s="20">
        <f>BJ29*BD29</f>
        <v>9955973.3250000011</v>
      </c>
      <c r="BM29" s="14">
        <v>46154</v>
      </c>
      <c r="BN29" s="24">
        <v>0</v>
      </c>
      <c r="BO29" s="24">
        <v>0</v>
      </c>
      <c r="BP29" s="24">
        <f t="shared" si="19"/>
        <v>0</v>
      </c>
      <c r="BQ29" s="24">
        <f>14455.97+3900.08</f>
        <v>18356.05</v>
      </c>
      <c r="BR29" s="13" t="s">
        <v>122</v>
      </c>
      <c r="BS29" s="13" t="s">
        <v>169</v>
      </c>
      <c r="BT29" s="13" t="s">
        <v>124</v>
      </c>
      <c r="BU29" s="13" t="s">
        <v>403</v>
      </c>
      <c r="BV29" s="13" t="s">
        <v>126</v>
      </c>
      <c r="BW29" s="13" t="s">
        <v>127</v>
      </c>
      <c r="BX29" s="13" t="s">
        <v>404</v>
      </c>
      <c r="BY29" s="13" t="s">
        <v>124</v>
      </c>
      <c r="BZ29" s="24">
        <f>18000+4000</f>
        <v>22000</v>
      </c>
      <c r="CA29" s="18" t="s">
        <v>130</v>
      </c>
      <c r="CB29" s="13" t="s">
        <v>110</v>
      </c>
      <c r="CC29" s="14" t="s">
        <v>110</v>
      </c>
      <c r="CD29" s="24">
        <v>0</v>
      </c>
      <c r="CE29" s="24">
        <v>0</v>
      </c>
      <c r="CF29" s="13" t="s">
        <v>124</v>
      </c>
      <c r="CG29" s="13">
        <v>9256798</v>
      </c>
      <c r="CH29" s="13" t="s">
        <v>100</v>
      </c>
      <c r="CI29" s="26">
        <v>95.15</v>
      </c>
      <c r="CJ29" s="24">
        <f t="shared" si="8"/>
        <v>1861040.8923749998</v>
      </c>
      <c r="CK29" s="24">
        <v>104327.5</v>
      </c>
      <c r="CL29" s="24">
        <f t="shared" si="14"/>
        <v>9926762</v>
      </c>
      <c r="CM29" s="24">
        <v>0</v>
      </c>
      <c r="CN29" s="18">
        <f t="shared" si="9"/>
        <v>9926762</v>
      </c>
      <c r="CO29" s="18">
        <f t="shared" si="10"/>
        <v>1786817.16</v>
      </c>
      <c r="CP29" s="24">
        <v>2203</v>
      </c>
      <c r="CQ29" s="18">
        <f t="shared" si="11"/>
        <v>1789020</v>
      </c>
      <c r="CR29" s="24">
        <f>8500+14000+800+1500+11720+12000+2400+700</f>
        <v>51620</v>
      </c>
      <c r="CS29" s="14">
        <v>46165</v>
      </c>
      <c r="CT29" s="13" t="s">
        <v>110</v>
      </c>
      <c r="CU29" s="13" t="s">
        <v>405</v>
      </c>
    </row>
    <row r="30" spans="1:100" s="13" customFormat="1" ht="115.2">
      <c r="A30" s="12" t="s">
        <v>288</v>
      </c>
      <c r="B30" s="13" t="str">
        <f t="shared" si="12"/>
        <v>KLFNSA</v>
      </c>
      <c r="C30" s="13" t="s">
        <v>96</v>
      </c>
      <c r="D30" s="13" t="s">
        <v>97</v>
      </c>
      <c r="E30" s="42" t="s">
        <v>406</v>
      </c>
      <c r="F30" s="14">
        <v>46161</v>
      </c>
      <c r="G30" s="14">
        <f t="shared" si="18"/>
        <v>46174</v>
      </c>
      <c r="H30" s="15" t="s">
        <v>99</v>
      </c>
      <c r="I30" s="15" t="s">
        <v>100</v>
      </c>
      <c r="J30" s="15" t="s">
        <v>100</v>
      </c>
      <c r="K30" s="43">
        <v>46168</v>
      </c>
      <c r="L30" s="42" t="s">
        <v>407</v>
      </c>
      <c r="M30" s="13">
        <f t="shared" si="13"/>
        <v>1</v>
      </c>
      <c r="N30" s="43">
        <v>46139</v>
      </c>
      <c r="O30" s="30" t="s">
        <v>392</v>
      </c>
      <c r="P30" s="42" t="s">
        <v>393</v>
      </c>
      <c r="Q30" s="39" t="s">
        <v>408</v>
      </c>
      <c r="R30" s="44" t="s">
        <v>409</v>
      </c>
      <c r="S30" s="16" t="s">
        <v>410</v>
      </c>
      <c r="T30" s="13">
        <f>8.46+1.19+0.48+7.34</f>
        <v>17.47</v>
      </c>
      <c r="U30" s="24">
        <f>((8.46*7250)+(1.19*7700)+(0.48*6800)+(7.34*7250))/17.47</f>
        <v>7268.2884945621072</v>
      </c>
      <c r="V30" s="24">
        <f t="shared" si="3"/>
        <v>126977</v>
      </c>
      <c r="W30" s="24">
        <v>0</v>
      </c>
      <c r="X30" s="24">
        <f t="shared" si="22"/>
        <v>126977</v>
      </c>
      <c r="Y30" s="13" t="s">
        <v>110</v>
      </c>
      <c r="Z30" s="13" t="s">
        <v>110</v>
      </c>
      <c r="AA30" s="13" t="s">
        <v>411</v>
      </c>
      <c r="AB30" s="13">
        <v>17.47</v>
      </c>
      <c r="AC30" s="13" t="s">
        <v>110</v>
      </c>
      <c r="AD30" s="13" t="s">
        <v>110</v>
      </c>
      <c r="AE30" s="13" t="s">
        <v>110</v>
      </c>
      <c r="AF30" s="13" t="s">
        <v>110</v>
      </c>
      <c r="AG30" s="13" t="s">
        <v>110</v>
      </c>
      <c r="AH30" s="13" t="s">
        <v>110</v>
      </c>
      <c r="AI30" s="13" t="s">
        <v>110</v>
      </c>
      <c r="AJ30" s="13" t="s">
        <v>110</v>
      </c>
      <c r="AK30" s="13">
        <v>17470</v>
      </c>
      <c r="AL30" s="13" t="s">
        <v>110</v>
      </c>
      <c r="AM30" s="13" t="s">
        <v>112</v>
      </c>
      <c r="AN30" s="16" t="s">
        <v>412</v>
      </c>
      <c r="AO30" s="16" t="s">
        <v>399</v>
      </c>
      <c r="AP30" s="16" t="s">
        <v>400</v>
      </c>
      <c r="AQ30" s="13" t="s">
        <v>116</v>
      </c>
      <c r="AR30" s="13" t="s">
        <v>116</v>
      </c>
      <c r="AS30" s="13">
        <v>75030010</v>
      </c>
      <c r="AU30" s="13" t="s">
        <v>413</v>
      </c>
      <c r="AV30" s="13" t="s">
        <v>119</v>
      </c>
      <c r="AW30" s="24" t="s">
        <v>110</v>
      </c>
      <c r="AX30" s="13" t="s">
        <v>110</v>
      </c>
      <c r="AY30" s="16" t="s">
        <v>414</v>
      </c>
      <c r="AZ30" s="14">
        <v>46139</v>
      </c>
      <c r="BA30" s="13">
        <v>17.47</v>
      </c>
      <c r="BB30" s="24">
        <f>((8.46*7250)+(1.19*7700)+(0.48*6800)+(7.34*7250))/17.47</f>
        <v>7268.2884945621072</v>
      </c>
      <c r="BC30" s="24">
        <v>0</v>
      </c>
      <c r="BD30" s="24">
        <f>((126976.91*96.49)+(0.09*96.77))/126977</f>
        <v>96.490000198461146</v>
      </c>
      <c r="BE30" s="18">
        <f t="shared" si="15"/>
        <v>126977</v>
      </c>
      <c r="BF30" s="18">
        <v>0</v>
      </c>
      <c r="BG30" s="13" t="s">
        <v>110</v>
      </c>
      <c r="BH30" s="20">
        <f t="shared" si="21"/>
        <v>126977</v>
      </c>
      <c r="BI30" s="24">
        <f t="shared" si="5"/>
        <v>12443746</v>
      </c>
      <c r="BJ30" s="20">
        <f t="shared" si="17"/>
        <v>126977</v>
      </c>
      <c r="BK30" s="24">
        <f t="shared" si="6"/>
        <v>14708818.86565</v>
      </c>
      <c r="BL30" s="20">
        <f>BJ30*BD30</f>
        <v>12252010.7552</v>
      </c>
      <c r="BM30" s="14">
        <v>46167</v>
      </c>
      <c r="BN30" s="24">
        <v>0</v>
      </c>
      <c r="BO30" s="24">
        <v>0</v>
      </c>
      <c r="BP30" s="24">
        <f t="shared" si="19"/>
        <v>0</v>
      </c>
      <c r="BQ30" s="24">
        <f>16752.01+4313.36</f>
        <v>21065.37</v>
      </c>
      <c r="BR30" s="13" t="s">
        <v>122</v>
      </c>
      <c r="BS30" s="13" t="s">
        <v>169</v>
      </c>
      <c r="BT30" s="13" t="s">
        <v>124</v>
      </c>
      <c r="BU30" s="13" t="s">
        <v>403</v>
      </c>
      <c r="BV30" s="13" t="s">
        <v>126</v>
      </c>
      <c r="BW30" s="13" t="s">
        <v>127</v>
      </c>
      <c r="BX30" s="13" t="s">
        <v>415</v>
      </c>
      <c r="BY30" s="13" t="s">
        <v>124</v>
      </c>
      <c r="BZ30" s="24">
        <f>18000+4000</f>
        <v>22000</v>
      </c>
      <c r="CA30" s="18" t="s">
        <v>130</v>
      </c>
      <c r="CB30" s="13" t="s">
        <v>110</v>
      </c>
      <c r="CC30" s="14" t="s">
        <v>110</v>
      </c>
      <c r="CD30" s="24">
        <v>0</v>
      </c>
      <c r="CE30" s="24">
        <v>0</v>
      </c>
      <c r="CF30" s="13" t="s">
        <v>124</v>
      </c>
      <c r="CG30" s="13">
        <v>9256803</v>
      </c>
      <c r="CH30" s="13" t="s">
        <v>100</v>
      </c>
      <c r="CI30" s="26">
        <v>95.15</v>
      </c>
      <c r="CJ30" s="24">
        <f t="shared" si="8"/>
        <v>2265072.8656500001</v>
      </c>
      <c r="CK30" s="24">
        <v>126977</v>
      </c>
      <c r="CL30" s="24">
        <f t="shared" si="14"/>
        <v>12081862</v>
      </c>
      <c r="CM30" s="24">
        <v>0</v>
      </c>
      <c r="CN30" s="18">
        <f t="shared" si="9"/>
        <v>12081862</v>
      </c>
      <c r="CO30" s="18">
        <f t="shared" si="10"/>
        <v>2174735.16</v>
      </c>
      <c r="CP30" s="24">
        <v>6256</v>
      </c>
      <c r="CQ30" s="18">
        <f t="shared" si="11"/>
        <v>2180991</v>
      </c>
      <c r="CR30" s="24">
        <f>14260+8500+14000+800+1500+12000+2400+700</f>
        <v>54160</v>
      </c>
      <c r="CS30" s="14">
        <v>46169</v>
      </c>
      <c r="CT30" s="13" t="s">
        <v>110</v>
      </c>
      <c r="CU30" s="13" t="s">
        <v>416</v>
      </c>
    </row>
    <row r="31" spans="1:100" s="13" customFormat="1" ht="115.2">
      <c r="A31" s="12" t="s">
        <v>288</v>
      </c>
      <c r="B31" s="13" t="str">
        <f t="shared" si="12"/>
        <v>105184</v>
      </c>
      <c r="C31" s="13" t="s">
        <v>96</v>
      </c>
      <c r="D31" s="13" t="s">
        <v>97</v>
      </c>
      <c r="E31" s="42" t="s">
        <v>417</v>
      </c>
      <c r="F31" s="14">
        <v>46163</v>
      </c>
      <c r="G31" s="14">
        <f t="shared" si="18"/>
        <v>46176</v>
      </c>
      <c r="H31" s="15" t="s">
        <v>99</v>
      </c>
      <c r="I31" s="15" t="s">
        <v>100</v>
      </c>
      <c r="J31" s="15" t="s">
        <v>100</v>
      </c>
      <c r="K31" s="43">
        <v>46152</v>
      </c>
      <c r="L31" s="42" t="s">
        <v>418</v>
      </c>
      <c r="M31" s="13">
        <f t="shared" si="13"/>
        <v>1</v>
      </c>
      <c r="N31" s="43">
        <v>46140</v>
      </c>
      <c r="O31" s="30" t="s">
        <v>392</v>
      </c>
      <c r="P31" s="42" t="s">
        <v>393</v>
      </c>
      <c r="Q31" s="39" t="s">
        <v>419</v>
      </c>
      <c r="R31" s="44" t="s">
        <v>420</v>
      </c>
      <c r="S31" s="16" t="s">
        <v>421</v>
      </c>
      <c r="T31" s="13">
        <f>7.754+4.56+1.128+1.8</f>
        <v>15.242000000000001</v>
      </c>
      <c r="U31" s="24">
        <f>((7.754*2350)+(4.56*1450)+(1.128*2650)+(1.8*2350))/15.242</f>
        <v>2102.9458076367928</v>
      </c>
      <c r="V31" s="24">
        <f t="shared" si="3"/>
        <v>32053.1</v>
      </c>
      <c r="W31" s="24">
        <v>0</v>
      </c>
      <c r="X31" s="24">
        <f t="shared" si="22"/>
        <v>32053.1</v>
      </c>
      <c r="Y31" s="13" t="s">
        <v>110</v>
      </c>
      <c r="Z31" s="13" t="s">
        <v>110</v>
      </c>
      <c r="AA31" s="13" t="s">
        <v>422</v>
      </c>
      <c r="AB31" s="13">
        <v>15.242000000000001</v>
      </c>
      <c r="AC31" s="13" t="s">
        <v>110</v>
      </c>
      <c r="AD31" s="13" t="s">
        <v>110</v>
      </c>
      <c r="AE31" s="13" t="s">
        <v>110</v>
      </c>
      <c r="AF31" s="13" t="s">
        <v>110</v>
      </c>
      <c r="AG31" s="13" t="s">
        <v>110</v>
      </c>
      <c r="AH31" s="13" t="s">
        <v>110</v>
      </c>
      <c r="AI31" s="13" t="s">
        <v>110</v>
      </c>
      <c r="AJ31" s="13" t="s">
        <v>110</v>
      </c>
      <c r="AK31" s="13">
        <v>15242</v>
      </c>
      <c r="AL31" s="13" t="s">
        <v>110</v>
      </c>
      <c r="AM31" s="13" t="s">
        <v>112</v>
      </c>
      <c r="AN31" s="16" t="s">
        <v>423</v>
      </c>
      <c r="AO31" s="13" t="s">
        <v>424</v>
      </c>
      <c r="AP31" s="16" t="s">
        <v>425</v>
      </c>
      <c r="AQ31" s="13" t="s">
        <v>116</v>
      </c>
      <c r="AR31" s="13" t="s">
        <v>116</v>
      </c>
      <c r="AS31" s="13">
        <v>72042190</v>
      </c>
      <c r="AU31" s="13" t="s">
        <v>426</v>
      </c>
      <c r="AV31" s="13" t="s">
        <v>119</v>
      </c>
      <c r="AW31" s="24">
        <v>800</v>
      </c>
      <c r="AX31" s="13" t="s">
        <v>427</v>
      </c>
      <c r="AY31" s="16" t="s">
        <v>428</v>
      </c>
      <c r="AZ31" s="14">
        <v>46141</v>
      </c>
      <c r="BA31" s="13">
        <v>15.242000000000001</v>
      </c>
      <c r="BB31" s="24">
        <f>U31</f>
        <v>2102.9458076367928</v>
      </c>
      <c r="BC31" s="24">
        <v>0</v>
      </c>
      <c r="BD31" s="24">
        <f>((126976.91*96.49)+(0.09*96.77))/126977</f>
        <v>96.490000198461146</v>
      </c>
      <c r="BE31" s="24">
        <f t="shared" si="15"/>
        <v>32053.1</v>
      </c>
      <c r="BF31" s="18">
        <v>0</v>
      </c>
      <c r="BG31" s="13" t="s">
        <v>110</v>
      </c>
      <c r="BH31" s="20">
        <f t="shared" si="21"/>
        <v>32053.1</v>
      </c>
      <c r="BI31" s="24">
        <f t="shared" si="5"/>
        <v>3141203.8</v>
      </c>
      <c r="BJ31" s="20">
        <f t="shared" si="17"/>
        <v>32053.1</v>
      </c>
      <c r="BK31" s="24">
        <f t="shared" si="6"/>
        <v>3712981.4216949996</v>
      </c>
      <c r="BL31" s="20">
        <f>BJ31*BD31</f>
        <v>3092803.625361295</v>
      </c>
      <c r="BM31" s="14">
        <v>46167</v>
      </c>
      <c r="BN31" s="24">
        <v>0</v>
      </c>
      <c r="BO31" s="24">
        <v>0</v>
      </c>
      <c r="BP31" s="24">
        <f t="shared" si="19"/>
        <v>0</v>
      </c>
      <c r="BQ31" s="24">
        <f>7592.8+2664.7</f>
        <v>10257.5</v>
      </c>
      <c r="BR31" s="13" t="s">
        <v>122</v>
      </c>
      <c r="BS31" s="13" t="s">
        <v>169</v>
      </c>
      <c r="BT31" s="13" t="s">
        <v>124</v>
      </c>
      <c r="BU31" s="16" t="s">
        <v>429</v>
      </c>
      <c r="BV31" s="16" t="s">
        <v>354</v>
      </c>
      <c r="BW31" s="16" t="s">
        <v>355</v>
      </c>
      <c r="BX31" s="13">
        <v>81</v>
      </c>
      <c r="BY31" s="13" t="s">
        <v>124</v>
      </c>
      <c r="BZ31" s="24">
        <f>5500+3000+170+600+350+900+250+250+12500</f>
        <v>23520</v>
      </c>
      <c r="CA31" s="18" t="s">
        <v>130</v>
      </c>
      <c r="CB31" s="13" t="s">
        <v>110</v>
      </c>
      <c r="CC31" s="14" t="s">
        <v>110</v>
      </c>
      <c r="CD31" s="24">
        <v>0</v>
      </c>
      <c r="CE31" s="24" t="s">
        <v>124</v>
      </c>
      <c r="CF31" s="13" t="s">
        <v>124</v>
      </c>
      <c r="CG31" s="13">
        <v>9301698</v>
      </c>
      <c r="CH31" s="13" t="s">
        <v>100</v>
      </c>
      <c r="CI31" s="26">
        <v>95.15</v>
      </c>
      <c r="CJ31" s="24">
        <f t="shared" si="8"/>
        <v>571777.62169499998</v>
      </c>
      <c r="CK31" s="24">
        <v>32053.1</v>
      </c>
      <c r="CL31" s="24">
        <f t="shared" si="14"/>
        <v>3049852</v>
      </c>
      <c r="CM31" s="24">
        <v>0</v>
      </c>
      <c r="CN31" s="18">
        <f t="shared" si="9"/>
        <v>3049852</v>
      </c>
      <c r="CO31" s="18">
        <f t="shared" si="10"/>
        <v>548973.36</v>
      </c>
      <c r="CP31" s="24">
        <v>2256</v>
      </c>
      <c r="CQ31" s="24">
        <f t="shared" si="11"/>
        <v>551229</v>
      </c>
      <c r="CR31" s="24">
        <f>12500+18000+8000+177+3600+2000+700+46.5+2000+800+8500+2000+1500+20003</f>
        <v>79826.5</v>
      </c>
      <c r="CS31" s="14">
        <v>46175</v>
      </c>
      <c r="CT31" s="13" t="s">
        <v>110</v>
      </c>
      <c r="CU31" s="13" t="s">
        <v>430</v>
      </c>
    </row>
    <row r="32" spans="1:100" s="13" customFormat="1" ht="57.6">
      <c r="A32" s="12" t="s">
        <v>288</v>
      </c>
      <c r="B32" s="13" t="str">
        <f t="shared" si="12"/>
        <v>002925</v>
      </c>
      <c r="C32" s="13" t="s">
        <v>96</v>
      </c>
      <c r="D32" s="13" t="s">
        <v>97</v>
      </c>
      <c r="E32" s="42" t="s">
        <v>431</v>
      </c>
      <c r="F32" s="43">
        <v>46148</v>
      </c>
      <c r="G32" s="43">
        <f t="shared" si="18"/>
        <v>46161</v>
      </c>
      <c r="H32" s="15" t="s">
        <v>99</v>
      </c>
      <c r="I32" s="15" t="s">
        <v>100</v>
      </c>
      <c r="J32" s="15" t="s">
        <v>100</v>
      </c>
      <c r="K32" s="43">
        <v>46137</v>
      </c>
      <c r="L32" s="42" t="s">
        <v>432</v>
      </c>
      <c r="M32" s="13">
        <f t="shared" si="13"/>
        <v>1</v>
      </c>
      <c r="N32" s="43">
        <v>46126</v>
      </c>
      <c r="O32" s="30" t="s">
        <v>433</v>
      </c>
      <c r="P32" s="42" t="s">
        <v>434</v>
      </c>
      <c r="Q32" s="39" t="s">
        <v>435</v>
      </c>
      <c r="R32" s="16" t="s">
        <v>436</v>
      </c>
      <c r="S32" s="16" t="s">
        <v>437</v>
      </c>
      <c r="T32" s="13">
        <v>26.82</v>
      </c>
      <c r="U32" s="24">
        <f>((0.36*700)+(26.46*800))/26.82</f>
        <v>798.65771812080538</v>
      </c>
      <c r="V32" s="24">
        <f t="shared" si="3"/>
        <v>21420</v>
      </c>
      <c r="W32" s="24">
        <v>0</v>
      </c>
      <c r="X32" s="24">
        <f t="shared" si="22"/>
        <v>21420</v>
      </c>
      <c r="Y32" s="13" t="s">
        <v>110</v>
      </c>
      <c r="Z32" s="13" t="s">
        <v>110</v>
      </c>
      <c r="AA32" s="13" t="s">
        <v>438</v>
      </c>
      <c r="AB32" s="13">
        <v>26.82</v>
      </c>
      <c r="AC32" s="13" t="s">
        <v>110</v>
      </c>
      <c r="AD32" s="13" t="s">
        <v>110</v>
      </c>
      <c r="AE32" s="13" t="s">
        <v>110</v>
      </c>
      <c r="AF32" s="13" t="s">
        <v>110</v>
      </c>
      <c r="AG32" s="13" t="s">
        <v>110</v>
      </c>
      <c r="AH32" s="13" t="s">
        <v>110</v>
      </c>
      <c r="AI32" s="13" t="s">
        <v>110</v>
      </c>
      <c r="AJ32" s="13" t="s">
        <v>110</v>
      </c>
      <c r="AK32" s="13">
        <v>26820</v>
      </c>
      <c r="AL32" s="13" t="s">
        <v>110</v>
      </c>
      <c r="AM32" s="13" t="s">
        <v>112</v>
      </c>
      <c r="AN32" s="16">
        <v>1268548</v>
      </c>
      <c r="AO32" s="16" t="s">
        <v>439</v>
      </c>
      <c r="AP32" s="13" t="s">
        <v>440</v>
      </c>
      <c r="AQ32" s="13" t="s">
        <v>116</v>
      </c>
      <c r="AR32" s="13" t="s">
        <v>116</v>
      </c>
      <c r="AS32" s="13">
        <v>72042190</v>
      </c>
      <c r="AU32" s="13" t="s">
        <v>441</v>
      </c>
      <c r="AV32" s="13" t="s">
        <v>119</v>
      </c>
      <c r="AW32" s="24">
        <v>800</v>
      </c>
      <c r="AX32" s="13" t="s">
        <v>442</v>
      </c>
      <c r="AY32" s="13" t="s">
        <v>432</v>
      </c>
      <c r="AZ32" s="14">
        <v>46142</v>
      </c>
      <c r="BA32" s="13">
        <v>26.82</v>
      </c>
      <c r="BB32" s="24">
        <f>((0.36*700)+(26.46*800))/26.82</f>
        <v>798.65771812080538</v>
      </c>
      <c r="BC32" s="24">
        <v>0</v>
      </c>
      <c r="BD32" s="24">
        <v>95.197500000000005</v>
      </c>
      <c r="BE32" s="24">
        <f t="shared" si="15"/>
        <v>21420</v>
      </c>
      <c r="BF32" s="18">
        <v>0</v>
      </c>
      <c r="BG32" s="13" t="s">
        <v>110</v>
      </c>
      <c r="BH32" s="24">
        <f t="shared" si="21"/>
        <v>21420</v>
      </c>
      <c r="BI32" s="24">
        <f t="shared" si="5"/>
        <v>2099160</v>
      </c>
      <c r="BJ32" s="20">
        <f t="shared" si="17"/>
        <v>21420</v>
      </c>
      <c r="BK32" s="24">
        <f t="shared" si="6"/>
        <v>2481259.5989999999</v>
      </c>
      <c r="BL32" s="24">
        <f>BJ32*BD32</f>
        <v>2039130.4500000002</v>
      </c>
      <c r="BM32" s="14">
        <v>46178</v>
      </c>
      <c r="BN32" s="24">
        <v>0</v>
      </c>
      <c r="BO32" s="24">
        <v>0</v>
      </c>
      <c r="BP32" s="24">
        <f t="shared" si="19"/>
        <v>0</v>
      </c>
      <c r="BQ32" s="24">
        <f>6554.55+2477.82</f>
        <v>9032.3700000000008</v>
      </c>
      <c r="BR32" s="13" t="s">
        <v>122</v>
      </c>
      <c r="BS32" s="13" t="s">
        <v>169</v>
      </c>
      <c r="BT32" s="13" t="s">
        <v>124</v>
      </c>
      <c r="BU32" s="16" t="s">
        <v>429</v>
      </c>
      <c r="BV32" s="16" t="s">
        <v>354</v>
      </c>
      <c r="BW32" s="16" t="s">
        <v>355</v>
      </c>
      <c r="BX32" s="16">
        <v>89</v>
      </c>
      <c r="BY32" s="13" t="s">
        <v>124</v>
      </c>
      <c r="BZ32" s="24">
        <f>5500+250+3000+170+600+350+900+250+11800</f>
        <v>22820</v>
      </c>
      <c r="CA32" s="18" t="s">
        <v>130</v>
      </c>
      <c r="CB32" s="13" t="s">
        <v>110</v>
      </c>
      <c r="CC32" s="14" t="s">
        <v>110</v>
      </c>
      <c r="CD32" s="24">
        <v>0</v>
      </c>
      <c r="CE32" s="24" t="s">
        <v>124</v>
      </c>
      <c r="CF32" s="13" t="s">
        <v>124</v>
      </c>
      <c r="CG32" s="13">
        <v>9061044</v>
      </c>
      <c r="CH32" s="13" t="s">
        <v>100</v>
      </c>
      <c r="CI32" s="24">
        <v>94.2</v>
      </c>
      <c r="CJ32" s="24">
        <f t="shared" si="8"/>
        <v>382099.59899999993</v>
      </c>
      <c r="CK32" s="24">
        <f>252+21168</f>
        <v>21420</v>
      </c>
      <c r="CL32" s="24">
        <f t="shared" si="14"/>
        <v>2017764</v>
      </c>
      <c r="CM32" s="24">
        <v>0</v>
      </c>
      <c r="CN32" s="18">
        <f t="shared" si="9"/>
        <v>2017764</v>
      </c>
      <c r="CO32" s="18">
        <f>ROUND(CN32*18%,0)</f>
        <v>363198</v>
      </c>
      <c r="CP32" s="24">
        <v>896</v>
      </c>
      <c r="CQ32" s="18">
        <f t="shared" si="11"/>
        <v>364094</v>
      </c>
      <c r="CR32" s="24">
        <f>13500+8000+177+500+2390+700+46.5+2360</f>
        <v>27673.5</v>
      </c>
      <c r="CS32" s="14">
        <v>46155</v>
      </c>
      <c r="CT32" s="13" t="s">
        <v>110</v>
      </c>
      <c r="CU32" s="13" t="s">
        <v>443</v>
      </c>
    </row>
    <row r="33" spans="1:100" s="13" customFormat="1" ht="43.2">
      <c r="A33" s="12" t="s">
        <v>288</v>
      </c>
      <c r="B33" s="13" t="str">
        <f t="shared" si="12"/>
        <v>542627</v>
      </c>
      <c r="C33" s="13" t="s">
        <v>96</v>
      </c>
      <c r="D33" s="13" t="s">
        <v>97</v>
      </c>
      <c r="E33" s="42" t="s">
        <v>444</v>
      </c>
      <c r="F33" s="43">
        <v>46205</v>
      </c>
      <c r="G33" s="43">
        <f>F33+13</f>
        <v>46218</v>
      </c>
      <c r="H33" s="15" t="s">
        <v>99</v>
      </c>
      <c r="I33" s="15" t="s">
        <v>100</v>
      </c>
      <c r="J33" s="15" t="s">
        <v>100</v>
      </c>
      <c r="K33" s="43">
        <v>46194</v>
      </c>
      <c r="L33" s="42">
        <v>1620021222</v>
      </c>
      <c r="M33" s="13">
        <f t="shared" si="13"/>
        <v>2</v>
      </c>
      <c r="N33" s="43">
        <v>46140</v>
      </c>
      <c r="O33" s="30" t="s">
        <v>101</v>
      </c>
      <c r="P33" s="16" t="s">
        <v>102</v>
      </c>
      <c r="Q33" s="39" t="s">
        <v>445</v>
      </c>
      <c r="R33" s="42" t="s">
        <v>446</v>
      </c>
      <c r="S33" s="13" t="s">
        <v>105</v>
      </c>
      <c r="T33" s="24">
        <v>250</v>
      </c>
      <c r="U33" s="24">
        <v>500</v>
      </c>
      <c r="V33" s="18">
        <f t="shared" si="3"/>
        <v>125000</v>
      </c>
      <c r="W33" s="24">
        <v>0</v>
      </c>
      <c r="X33" s="18">
        <f t="shared" si="22"/>
        <v>125000</v>
      </c>
      <c r="Y33" s="13">
        <v>8110045763</v>
      </c>
      <c r="Z33" s="14">
        <v>46161</v>
      </c>
      <c r="AA33" s="13" t="s">
        <v>447</v>
      </c>
      <c r="AB33" s="13">
        <v>24.38</v>
      </c>
      <c r="AC33" s="13" t="s">
        <v>448</v>
      </c>
      <c r="AD33" s="13">
        <v>25.37</v>
      </c>
      <c r="AE33" s="13" t="s">
        <v>110</v>
      </c>
      <c r="AF33" s="13" t="s">
        <v>110</v>
      </c>
      <c r="AG33" s="13" t="s">
        <v>110</v>
      </c>
      <c r="AH33" s="13" t="s">
        <v>110</v>
      </c>
      <c r="AI33" s="13" t="s">
        <v>110</v>
      </c>
      <c r="AJ33" s="13" t="s">
        <v>110</v>
      </c>
      <c r="AK33" s="13">
        <v>49750</v>
      </c>
      <c r="AL33" s="13" t="s">
        <v>449</v>
      </c>
      <c r="AM33" s="13" t="s">
        <v>112</v>
      </c>
      <c r="AN33" s="16" t="s">
        <v>450</v>
      </c>
      <c r="AO33" s="16" t="s">
        <v>350</v>
      </c>
      <c r="AP33" s="13" t="s">
        <v>115</v>
      </c>
      <c r="AQ33" s="13" t="s">
        <v>116</v>
      </c>
      <c r="AR33" s="13" t="s">
        <v>116</v>
      </c>
      <c r="AS33" s="13">
        <v>72044900</v>
      </c>
      <c r="AT33" s="13" t="s">
        <v>117</v>
      </c>
      <c r="AU33" s="13" t="s">
        <v>451</v>
      </c>
      <c r="AV33" s="13" t="s">
        <v>119</v>
      </c>
      <c r="AW33" s="24">
        <v>800</v>
      </c>
      <c r="AX33" s="16" t="s">
        <v>452</v>
      </c>
      <c r="AY33" s="16" t="s">
        <v>453</v>
      </c>
      <c r="AZ33" s="14">
        <v>46194</v>
      </c>
      <c r="BA33" s="13">
        <f>25.37+24.38</f>
        <v>49.75</v>
      </c>
      <c r="BB33" s="24">
        <v>500</v>
      </c>
      <c r="BC33" s="24">
        <v>0</v>
      </c>
      <c r="BD33" s="24">
        <v>95.27</v>
      </c>
      <c r="BE33" s="24">
        <f t="shared" si="15"/>
        <v>24875</v>
      </c>
      <c r="BF33" s="18">
        <v>0</v>
      </c>
      <c r="BG33" s="13" t="s">
        <v>110</v>
      </c>
      <c r="BH33" s="20">
        <f t="shared" si="21"/>
        <v>24875</v>
      </c>
      <c r="BI33" s="24">
        <f t="shared" si="5"/>
        <v>2437750</v>
      </c>
      <c r="BJ33" s="18">
        <f t="shared" si="17"/>
        <v>24875</v>
      </c>
      <c r="BK33" s="24">
        <f t="shared" si="6"/>
        <v>2881481.4437500001</v>
      </c>
      <c r="BL33" s="24">
        <f>BJ33*BD33</f>
        <v>2369841.25</v>
      </c>
      <c r="BM33" s="14">
        <v>46180</v>
      </c>
      <c r="BN33" s="24">
        <v>0</v>
      </c>
      <c r="BO33" s="24">
        <v>0</v>
      </c>
      <c r="BP33" s="24">
        <f t="shared" si="19"/>
        <v>0</v>
      </c>
      <c r="BQ33" s="24">
        <f>6869.84+2534.58</f>
        <v>9404.42</v>
      </c>
      <c r="BR33" s="12" t="s">
        <v>122</v>
      </c>
      <c r="BS33" s="13" t="s">
        <v>169</v>
      </c>
      <c r="BT33" s="13" t="s">
        <v>124</v>
      </c>
      <c r="BU33" s="13" t="s">
        <v>125</v>
      </c>
      <c r="BV33" s="13" t="s">
        <v>126</v>
      </c>
      <c r="BW33" s="13" t="s">
        <v>127</v>
      </c>
      <c r="BX33" s="13" t="s">
        <v>454</v>
      </c>
      <c r="BY33" s="13" t="s">
        <v>124</v>
      </c>
      <c r="BZ33" s="24">
        <f>56500</f>
        <v>56500</v>
      </c>
      <c r="CA33" s="18" t="s">
        <v>130</v>
      </c>
      <c r="CB33" s="22" t="s">
        <v>110</v>
      </c>
      <c r="CC33" s="33" t="s">
        <v>110</v>
      </c>
      <c r="CD33" s="18" t="s">
        <v>110</v>
      </c>
      <c r="CE33" s="24" t="s">
        <v>124</v>
      </c>
      <c r="CF33" s="13" t="s">
        <v>124</v>
      </c>
      <c r="CG33" s="13">
        <v>2265932</v>
      </c>
      <c r="CH33" s="13" t="s">
        <v>100</v>
      </c>
      <c r="CI33" s="24">
        <v>95.3</v>
      </c>
      <c r="CJ33" s="24">
        <f t="shared" si="8"/>
        <v>443731.44374999998</v>
      </c>
      <c r="CK33" s="24">
        <v>24875</v>
      </c>
      <c r="CL33" s="24">
        <f t="shared" si="14"/>
        <v>2370588</v>
      </c>
      <c r="CM33" s="24">
        <v>0</v>
      </c>
      <c r="CN33" s="18">
        <f t="shared" si="9"/>
        <v>2370588</v>
      </c>
      <c r="CO33" s="18">
        <f t="shared" ref="CO33:CO102" si="23">ROUND(CN33*18%,0)</f>
        <v>426706</v>
      </c>
      <c r="CP33" s="24">
        <v>1578</v>
      </c>
      <c r="CQ33" s="18">
        <f t="shared" si="11"/>
        <v>428284</v>
      </c>
      <c r="CR33" s="24">
        <f>32360+1400+48100+2800</f>
        <v>84660</v>
      </c>
      <c r="CS33" s="14">
        <v>46219</v>
      </c>
      <c r="CT33" s="13" t="s">
        <v>110</v>
      </c>
      <c r="CU33" s="13" t="s">
        <v>455</v>
      </c>
    </row>
    <row r="34" spans="1:100" s="13" customFormat="1" ht="43.2">
      <c r="A34" s="12" t="s">
        <v>288</v>
      </c>
      <c r="B34" s="13" t="str">
        <f t="shared" si="12"/>
        <v>522627</v>
      </c>
      <c r="C34" s="13" t="s">
        <v>96</v>
      </c>
      <c r="D34" s="13" t="s">
        <v>97</v>
      </c>
      <c r="E34" s="42" t="s">
        <v>456</v>
      </c>
      <c r="F34" s="43">
        <v>46205</v>
      </c>
      <c r="G34" s="43">
        <f t="shared" ref="G34:G59" si="24">F34+13</f>
        <v>46218</v>
      </c>
      <c r="H34" s="15" t="s">
        <v>99</v>
      </c>
      <c r="I34" s="15" t="s">
        <v>100</v>
      </c>
      <c r="J34" s="15" t="s">
        <v>100</v>
      </c>
      <c r="K34" s="43">
        <v>46194</v>
      </c>
      <c r="L34" s="42">
        <v>1620021222</v>
      </c>
      <c r="M34" s="13">
        <f t="shared" si="13"/>
        <v>2</v>
      </c>
      <c r="N34" s="43">
        <v>46140</v>
      </c>
      <c r="O34" s="30" t="s">
        <v>101</v>
      </c>
      <c r="P34" s="16" t="s">
        <v>102</v>
      </c>
      <c r="Q34" s="39" t="s">
        <v>445</v>
      </c>
      <c r="R34" s="42" t="s">
        <v>446</v>
      </c>
      <c r="S34" s="13" t="s">
        <v>105</v>
      </c>
      <c r="T34" s="24">
        <v>250</v>
      </c>
      <c r="U34" s="24">
        <v>500</v>
      </c>
      <c r="V34" s="18">
        <f t="shared" si="3"/>
        <v>125000</v>
      </c>
      <c r="W34" s="24">
        <v>0</v>
      </c>
      <c r="X34" s="18">
        <f t="shared" si="22"/>
        <v>125000</v>
      </c>
      <c r="Y34" s="16" t="s">
        <v>457</v>
      </c>
      <c r="Z34" s="14">
        <v>46162</v>
      </c>
      <c r="AA34" s="13" t="s">
        <v>458</v>
      </c>
      <c r="AB34" s="13">
        <v>23.79</v>
      </c>
      <c r="AC34" s="13">
        <v>24.77</v>
      </c>
      <c r="AD34" s="13">
        <v>25.37</v>
      </c>
      <c r="AE34" s="13" t="s">
        <v>110</v>
      </c>
      <c r="AF34" s="13" t="s">
        <v>110</v>
      </c>
      <c r="AG34" s="13" t="s">
        <v>110</v>
      </c>
      <c r="AH34" s="13" t="s">
        <v>110</v>
      </c>
      <c r="AI34" s="13" t="s">
        <v>110</v>
      </c>
      <c r="AJ34" s="13" t="s">
        <v>110</v>
      </c>
      <c r="AK34" s="13">
        <v>48560</v>
      </c>
      <c r="AL34" s="13" t="s">
        <v>449</v>
      </c>
      <c r="AM34" s="13" t="s">
        <v>112</v>
      </c>
      <c r="AN34" s="16" t="s">
        <v>459</v>
      </c>
      <c r="AO34" s="16" t="s">
        <v>350</v>
      </c>
      <c r="AP34" s="13" t="s">
        <v>115</v>
      </c>
      <c r="AQ34" s="13" t="s">
        <v>116</v>
      </c>
      <c r="AR34" s="13" t="s">
        <v>116</v>
      </c>
      <c r="AS34" s="13">
        <v>72044900</v>
      </c>
      <c r="AT34" s="13" t="s">
        <v>117</v>
      </c>
      <c r="AU34" s="13" t="s">
        <v>460</v>
      </c>
      <c r="AV34" s="13" t="s">
        <v>119</v>
      </c>
      <c r="AW34" s="24">
        <v>800</v>
      </c>
      <c r="AX34" s="16" t="s">
        <v>461</v>
      </c>
      <c r="AY34" s="16" t="s">
        <v>462</v>
      </c>
      <c r="AZ34" s="14">
        <v>46194</v>
      </c>
      <c r="BA34" s="13">
        <f>24.77+23.79</f>
        <v>48.56</v>
      </c>
      <c r="BB34" s="24">
        <v>500</v>
      </c>
      <c r="BC34" s="24">
        <v>0</v>
      </c>
      <c r="BD34" s="24">
        <v>95.27</v>
      </c>
      <c r="BE34" s="24">
        <f t="shared" si="15"/>
        <v>24280</v>
      </c>
      <c r="BF34" s="18">
        <v>0</v>
      </c>
      <c r="BG34" s="13" t="s">
        <v>110</v>
      </c>
      <c r="BH34" s="20">
        <f t="shared" si="21"/>
        <v>24280</v>
      </c>
      <c r="BI34" s="24">
        <f t="shared" si="5"/>
        <v>2379440</v>
      </c>
      <c r="BJ34" s="18">
        <f t="shared" si="17"/>
        <v>24280</v>
      </c>
      <c r="BK34" s="24">
        <f t="shared" si="6"/>
        <v>2812557.5660000001</v>
      </c>
      <c r="BL34" s="24">
        <f t="shared" ref="BL34:BL95" si="25">BJ34*BD34</f>
        <v>2313155.6</v>
      </c>
      <c r="BM34" s="14">
        <v>46210</v>
      </c>
      <c r="BN34" s="24">
        <v>0</v>
      </c>
      <c r="BO34" s="24">
        <v>0</v>
      </c>
      <c r="BP34" s="24">
        <f t="shared" si="19"/>
        <v>0</v>
      </c>
      <c r="BQ34" s="24">
        <f>6813.16+2524.36</f>
        <v>9337.52</v>
      </c>
      <c r="BR34" s="13" t="s">
        <v>122</v>
      </c>
      <c r="BS34" s="13" t="s">
        <v>169</v>
      </c>
      <c r="BT34" s="13" t="s">
        <v>124</v>
      </c>
      <c r="BU34" s="13" t="s">
        <v>125</v>
      </c>
      <c r="BV34" s="13" t="s">
        <v>126</v>
      </c>
      <c r="BW34" s="13" t="s">
        <v>127</v>
      </c>
      <c r="BX34" s="13" t="s">
        <v>463</v>
      </c>
      <c r="BY34" s="13" t="s">
        <v>124</v>
      </c>
      <c r="BZ34" s="41">
        <f>66670+10170</f>
        <v>76840</v>
      </c>
      <c r="CA34" s="18" t="s">
        <v>130</v>
      </c>
      <c r="CB34" s="22" t="s">
        <v>110</v>
      </c>
      <c r="CC34" s="33" t="s">
        <v>110</v>
      </c>
      <c r="CD34" s="18" t="s">
        <v>110</v>
      </c>
      <c r="CE34" s="24">
        <f>13305+21165</f>
        <v>34470</v>
      </c>
      <c r="CF34" s="13" t="s">
        <v>124</v>
      </c>
      <c r="CG34" s="13">
        <v>2265917</v>
      </c>
      <c r="CH34" s="13" t="s">
        <v>100</v>
      </c>
      <c r="CI34" s="24">
        <v>95.3</v>
      </c>
      <c r="CJ34" s="24">
        <f t="shared" si="8"/>
        <v>433117.56599999999</v>
      </c>
      <c r="CK34" s="24">
        <v>24280</v>
      </c>
      <c r="CL34" s="24">
        <f t="shared" si="14"/>
        <v>2313884</v>
      </c>
      <c r="CM34" s="24">
        <v>0</v>
      </c>
      <c r="CN34" s="18">
        <f t="shared" si="9"/>
        <v>2313884</v>
      </c>
      <c r="CO34" s="18">
        <f t="shared" si="23"/>
        <v>416499</v>
      </c>
      <c r="CP34" s="24">
        <v>856</v>
      </c>
      <c r="CQ34" s="18">
        <f t="shared" si="11"/>
        <v>417355</v>
      </c>
      <c r="CR34" s="24">
        <f>32360+1700+48100+2740</f>
        <v>84900</v>
      </c>
      <c r="CS34" s="14">
        <v>46214</v>
      </c>
      <c r="CT34" s="13" t="s">
        <v>110</v>
      </c>
      <c r="CU34" s="13" t="s">
        <v>464</v>
      </c>
    </row>
    <row r="35" spans="1:100" s="13" customFormat="1" ht="43.2">
      <c r="A35" s="12" t="s">
        <v>288</v>
      </c>
      <c r="B35" s="13" t="str">
        <f t="shared" si="12"/>
        <v>512627</v>
      </c>
      <c r="C35" s="13" t="s">
        <v>96</v>
      </c>
      <c r="D35" s="13" t="s">
        <v>97</v>
      </c>
      <c r="E35" s="42" t="s">
        <v>465</v>
      </c>
      <c r="F35" s="43">
        <v>46205</v>
      </c>
      <c r="G35" s="43">
        <f t="shared" si="24"/>
        <v>46218</v>
      </c>
      <c r="H35" s="15" t="s">
        <v>99</v>
      </c>
      <c r="I35" s="15" t="s">
        <v>100</v>
      </c>
      <c r="J35" s="15" t="s">
        <v>100</v>
      </c>
      <c r="K35" s="43">
        <v>46194</v>
      </c>
      <c r="L35" s="42">
        <v>1620021222</v>
      </c>
      <c r="M35" s="13">
        <f t="shared" si="13"/>
        <v>2</v>
      </c>
      <c r="N35" s="43">
        <v>46140</v>
      </c>
      <c r="O35" s="30" t="s">
        <v>101</v>
      </c>
      <c r="P35" s="16" t="s">
        <v>102</v>
      </c>
      <c r="Q35" s="39" t="s">
        <v>445</v>
      </c>
      <c r="R35" s="42" t="s">
        <v>446</v>
      </c>
      <c r="S35" s="13" t="s">
        <v>105</v>
      </c>
      <c r="T35" s="24">
        <v>250</v>
      </c>
      <c r="U35" s="24">
        <v>500</v>
      </c>
      <c r="V35" s="18">
        <f t="shared" si="3"/>
        <v>125000</v>
      </c>
      <c r="W35" s="24">
        <v>0</v>
      </c>
      <c r="X35" s="18">
        <f t="shared" si="22"/>
        <v>125000</v>
      </c>
      <c r="Y35" s="16" t="s">
        <v>466</v>
      </c>
      <c r="Z35" s="14">
        <v>46162</v>
      </c>
      <c r="AA35" s="13" t="s">
        <v>467</v>
      </c>
      <c r="AB35" s="13">
        <v>24.16</v>
      </c>
      <c r="AC35" s="13" t="s">
        <v>468</v>
      </c>
      <c r="AD35" s="13">
        <v>23.43</v>
      </c>
      <c r="AE35" s="13" t="s">
        <v>110</v>
      </c>
      <c r="AF35" s="13" t="s">
        <v>110</v>
      </c>
      <c r="AG35" s="13" t="s">
        <v>110</v>
      </c>
      <c r="AH35" s="13" t="s">
        <v>110</v>
      </c>
      <c r="AI35" s="13" t="s">
        <v>110</v>
      </c>
      <c r="AJ35" s="13" t="s">
        <v>110</v>
      </c>
      <c r="AK35" s="13">
        <v>47590</v>
      </c>
      <c r="AL35" s="13" t="s">
        <v>449</v>
      </c>
      <c r="AM35" s="13" t="s">
        <v>112</v>
      </c>
      <c r="AN35" s="16" t="s">
        <v>469</v>
      </c>
      <c r="AO35" s="16" t="s">
        <v>350</v>
      </c>
      <c r="AP35" s="13" t="s">
        <v>115</v>
      </c>
      <c r="AQ35" s="13" t="s">
        <v>116</v>
      </c>
      <c r="AR35" s="13" t="s">
        <v>116</v>
      </c>
      <c r="AS35" s="13">
        <v>72044900</v>
      </c>
      <c r="AT35" s="13" t="s">
        <v>117</v>
      </c>
      <c r="AU35" s="13" t="s">
        <v>470</v>
      </c>
      <c r="AV35" s="13" t="s">
        <v>119</v>
      </c>
      <c r="AW35" s="24">
        <v>800</v>
      </c>
      <c r="AX35" s="16" t="s">
        <v>471</v>
      </c>
      <c r="AY35" s="16" t="s">
        <v>472</v>
      </c>
      <c r="AZ35" s="14">
        <v>46194</v>
      </c>
      <c r="BA35" s="13">
        <f>24.16+23.43</f>
        <v>47.59</v>
      </c>
      <c r="BB35" s="24">
        <v>500</v>
      </c>
      <c r="BC35" s="24">
        <v>0</v>
      </c>
      <c r="BD35" s="24">
        <v>95.27</v>
      </c>
      <c r="BE35" s="24">
        <f t="shared" si="15"/>
        <v>23795</v>
      </c>
      <c r="BF35" s="18">
        <v>0</v>
      </c>
      <c r="BG35" s="13" t="s">
        <v>110</v>
      </c>
      <c r="BH35" s="20">
        <f t="shared" si="21"/>
        <v>23795</v>
      </c>
      <c r="BI35" s="24">
        <f t="shared" si="5"/>
        <v>2331910</v>
      </c>
      <c r="BJ35" s="18">
        <f t="shared" si="17"/>
        <v>23795</v>
      </c>
      <c r="BK35" s="24">
        <f t="shared" si="6"/>
        <v>2756375.91775</v>
      </c>
      <c r="BL35" s="24">
        <f>BJ35*BD35</f>
        <v>2266949.65</v>
      </c>
      <c r="BM35" s="14">
        <v>46210</v>
      </c>
      <c r="BN35" s="24">
        <v>0</v>
      </c>
      <c r="BO35" s="24">
        <v>0</v>
      </c>
      <c r="BP35" s="24">
        <f t="shared" si="19"/>
        <v>0</v>
      </c>
      <c r="BQ35" s="24">
        <f>6766.95+2516.06</f>
        <v>9283.01</v>
      </c>
      <c r="BR35" s="12" t="s">
        <v>122</v>
      </c>
      <c r="BS35" s="13" t="s">
        <v>169</v>
      </c>
      <c r="BT35" s="13" t="s">
        <v>124</v>
      </c>
      <c r="BU35" s="13" t="s">
        <v>125</v>
      </c>
      <c r="BV35" s="13" t="s">
        <v>126</v>
      </c>
      <c r="BW35" s="13" t="s">
        <v>127</v>
      </c>
      <c r="BX35" s="13" t="s">
        <v>473</v>
      </c>
      <c r="BY35" s="13" t="s">
        <v>124</v>
      </c>
      <c r="BZ35" s="24">
        <f>56500+914.34</f>
        <v>57414.34</v>
      </c>
      <c r="CA35" s="18" t="s">
        <v>130</v>
      </c>
      <c r="CB35" s="22" t="s">
        <v>110</v>
      </c>
      <c r="CC35" s="33" t="s">
        <v>110</v>
      </c>
      <c r="CD35" s="18" t="s">
        <v>110</v>
      </c>
      <c r="CE35" s="24">
        <v>6150</v>
      </c>
      <c r="CF35" s="13" t="s">
        <v>124</v>
      </c>
      <c r="CG35" s="13">
        <v>2265921</v>
      </c>
      <c r="CH35" s="13" t="s">
        <v>100</v>
      </c>
      <c r="CI35" s="24">
        <v>95.3</v>
      </c>
      <c r="CJ35" s="24">
        <f t="shared" si="8"/>
        <v>424465.91774999996</v>
      </c>
      <c r="CK35" s="24">
        <v>23795</v>
      </c>
      <c r="CL35" s="24">
        <f t="shared" si="14"/>
        <v>2267664</v>
      </c>
      <c r="CM35" s="24">
        <v>0</v>
      </c>
      <c r="CN35" s="18">
        <f t="shared" si="9"/>
        <v>2267664</v>
      </c>
      <c r="CO35" s="18">
        <f>ROUND(CN35*18%,0)</f>
        <v>408180</v>
      </c>
      <c r="CP35" s="24">
        <v>1342</v>
      </c>
      <c r="CQ35" s="18">
        <f t="shared" si="11"/>
        <v>409522</v>
      </c>
      <c r="CR35" s="24">
        <f>32360+1400+48100+2680</f>
        <v>84540</v>
      </c>
      <c r="CS35" s="14">
        <v>46218</v>
      </c>
      <c r="CT35" s="13" t="s">
        <v>110</v>
      </c>
      <c r="CU35" s="13" t="s">
        <v>474</v>
      </c>
    </row>
    <row r="36" spans="1:100" s="13" customFormat="1" ht="43.2">
      <c r="A36" s="12" t="s">
        <v>288</v>
      </c>
      <c r="B36" s="13" t="str">
        <f t="shared" si="12"/>
        <v>502627</v>
      </c>
      <c r="C36" s="13" t="s">
        <v>96</v>
      </c>
      <c r="D36" s="13" t="s">
        <v>97</v>
      </c>
      <c r="E36" s="42" t="s">
        <v>475</v>
      </c>
      <c r="F36" s="43">
        <v>46205</v>
      </c>
      <c r="G36" s="43">
        <f t="shared" si="24"/>
        <v>46218</v>
      </c>
      <c r="H36" s="15" t="s">
        <v>99</v>
      </c>
      <c r="I36" s="15" t="s">
        <v>100</v>
      </c>
      <c r="J36" s="15" t="s">
        <v>100</v>
      </c>
      <c r="K36" s="43">
        <v>46194</v>
      </c>
      <c r="L36" s="42">
        <v>1620021222</v>
      </c>
      <c r="M36" s="13">
        <f t="shared" si="13"/>
        <v>2</v>
      </c>
      <c r="N36" s="43">
        <v>46140</v>
      </c>
      <c r="O36" s="30" t="s">
        <v>101</v>
      </c>
      <c r="P36" s="16" t="s">
        <v>102</v>
      </c>
      <c r="Q36" s="39" t="s">
        <v>445</v>
      </c>
      <c r="R36" s="42" t="s">
        <v>446</v>
      </c>
      <c r="S36" s="13" t="s">
        <v>105</v>
      </c>
      <c r="T36" s="24">
        <v>250</v>
      </c>
      <c r="U36" s="24">
        <v>500</v>
      </c>
      <c r="V36" s="18">
        <f t="shared" si="3"/>
        <v>125000</v>
      </c>
      <c r="W36" s="24">
        <v>0</v>
      </c>
      <c r="X36" s="18">
        <f t="shared" si="22"/>
        <v>125000</v>
      </c>
      <c r="Y36" s="16" t="s">
        <v>476</v>
      </c>
      <c r="Z36" s="14">
        <v>46162</v>
      </c>
      <c r="AA36" s="13" t="s">
        <v>477</v>
      </c>
      <c r="AB36" s="13">
        <v>24.42</v>
      </c>
      <c r="AC36" s="13" t="s">
        <v>478</v>
      </c>
      <c r="AD36" s="13">
        <v>22.54</v>
      </c>
      <c r="AE36" s="13" t="s">
        <v>110</v>
      </c>
      <c r="AF36" s="13" t="s">
        <v>110</v>
      </c>
      <c r="AG36" s="13" t="s">
        <v>110</v>
      </c>
      <c r="AH36" s="13" t="s">
        <v>110</v>
      </c>
      <c r="AI36" s="13" t="s">
        <v>110</v>
      </c>
      <c r="AJ36" s="13" t="s">
        <v>110</v>
      </c>
      <c r="AK36" s="13">
        <v>46960</v>
      </c>
      <c r="AL36" s="13" t="s">
        <v>449</v>
      </c>
      <c r="AM36" s="13" t="s">
        <v>112</v>
      </c>
      <c r="AN36" s="16" t="s">
        <v>479</v>
      </c>
      <c r="AO36" s="16" t="s">
        <v>350</v>
      </c>
      <c r="AP36" s="13" t="s">
        <v>115</v>
      </c>
      <c r="AQ36" s="13" t="s">
        <v>116</v>
      </c>
      <c r="AR36" s="13" t="s">
        <v>116</v>
      </c>
      <c r="AS36" s="13">
        <v>72044900</v>
      </c>
      <c r="AT36" s="13" t="s">
        <v>117</v>
      </c>
      <c r="AU36" s="13" t="s">
        <v>480</v>
      </c>
      <c r="AV36" s="13" t="s">
        <v>119</v>
      </c>
      <c r="AW36" s="24">
        <v>800</v>
      </c>
      <c r="AX36" s="16" t="s">
        <v>481</v>
      </c>
      <c r="AY36" s="16" t="s">
        <v>482</v>
      </c>
      <c r="AZ36" s="14">
        <v>46194</v>
      </c>
      <c r="BA36" s="13">
        <f>22.54+24.42</f>
        <v>46.96</v>
      </c>
      <c r="BB36" s="24">
        <v>500</v>
      </c>
      <c r="BC36" s="24">
        <v>0</v>
      </c>
      <c r="BD36" s="24">
        <v>95.27</v>
      </c>
      <c r="BE36" s="24">
        <f t="shared" si="15"/>
        <v>23480</v>
      </c>
      <c r="BF36" s="18">
        <v>0</v>
      </c>
      <c r="BG36" s="13" t="s">
        <v>110</v>
      </c>
      <c r="BH36" s="20">
        <f t="shared" si="21"/>
        <v>23480</v>
      </c>
      <c r="BI36" s="24">
        <f t="shared" si="5"/>
        <v>2301040</v>
      </c>
      <c r="BJ36" s="18">
        <f t="shared" si="17"/>
        <v>23480</v>
      </c>
      <c r="BK36" s="24">
        <f t="shared" si="6"/>
        <v>2719886.8059999999</v>
      </c>
      <c r="BL36" s="24">
        <f t="shared" si="25"/>
        <v>2236939.6</v>
      </c>
      <c r="BM36" s="14">
        <v>46210</v>
      </c>
      <c r="BN36" s="24">
        <v>0</v>
      </c>
      <c r="BO36" s="24">
        <v>0</v>
      </c>
      <c r="BP36" s="24">
        <f t="shared" si="19"/>
        <v>0</v>
      </c>
      <c r="BQ36" s="24">
        <f>6736.94+2510.64</f>
        <v>9247.58</v>
      </c>
      <c r="BR36" s="12" t="s">
        <v>122</v>
      </c>
      <c r="BS36" s="13" t="s">
        <v>169</v>
      </c>
      <c r="BT36" s="13" t="s">
        <v>124</v>
      </c>
      <c r="BU36" s="13" t="s">
        <v>125</v>
      </c>
      <c r="BV36" s="13" t="s">
        <v>126</v>
      </c>
      <c r="BW36" s="13" t="s">
        <v>127</v>
      </c>
      <c r="BX36" s="13" t="s">
        <v>483</v>
      </c>
      <c r="BY36" s="13" t="s">
        <v>124</v>
      </c>
      <c r="BZ36" s="24">
        <v>56500</v>
      </c>
      <c r="CA36" s="18" t="s">
        <v>130</v>
      </c>
      <c r="CB36" s="22" t="s">
        <v>110</v>
      </c>
      <c r="CC36" s="33" t="s">
        <v>110</v>
      </c>
      <c r="CD36" s="18" t="s">
        <v>110</v>
      </c>
      <c r="CE36" s="24">
        <f>2788+14870</f>
        <v>17658</v>
      </c>
      <c r="CF36" s="13" t="s">
        <v>124</v>
      </c>
      <c r="CG36" s="13">
        <v>2265928</v>
      </c>
      <c r="CH36" s="13" t="s">
        <v>100</v>
      </c>
      <c r="CI36" s="24">
        <v>95.3</v>
      </c>
      <c r="CJ36" s="24">
        <f t="shared" si="8"/>
        <v>418846.80600000004</v>
      </c>
      <c r="CK36" s="24">
        <v>23480</v>
      </c>
      <c r="CL36" s="24">
        <f t="shared" si="14"/>
        <v>2237644</v>
      </c>
      <c r="CM36" s="24">
        <v>0</v>
      </c>
      <c r="CN36" s="18">
        <f t="shared" si="9"/>
        <v>2237644</v>
      </c>
      <c r="CO36" s="18">
        <f t="shared" si="23"/>
        <v>402776</v>
      </c>
      <c r="CP36" s="24">
        <v>1324</v>
      </c>
      <c r="CQ36" s="18">
        <f t="shared" si="11"/>
        <v>404100</v>
      </c>
      <c r="CR36" s="24">
        <f>32360+1600+48100+2660</f>
        <v>84720</v>
      </c>
      <c r="CS36" s="14">
        <v>46217</v>
      </c>
      <c r="CT36" s="13" t="s">
        <v>110</v>
      </c>
      <c r="CU36" s="13" t="s">
        <v>484</v>
      </c>
    </row>
    <row r="37" spans="1:100" s="13" customFormat="1" ht="72">
      <c r="A37" s="12" t="s">
        <v>288</v>
      </c>
      <c r="B37" s="13" t="str">
        <f t="shared" si="12"/>
        <v>662627</v>
      </c>
      <c r="C37" s="13" t="s">
        <v>96</v>
      </c>
      <c r="D37" s="13" t="s">
        <v>97</v>
      </c>
      <c r="E37" s="42" t="s">
        <v>485</v>
      </c>
      <c r="F37" s="43">
        <v>46266</v>
      </c>
      <c r="G37" s="14">
        <f>F37+13</f>
        <v>46279</v>
      </c>
      <c r="H37" s="15" t="s">
        <v>99</v>
      </c>
      <c r="I37" s="15" t="s">
        <v>100</v>
      </c>
      <c r="J37" s="15" t="s">
        <v>100</v>
      </c>
      <c r="K37" s="43">
        <v>46246</v>
      </c>
      <c r="L37" s="42">
        <v>1620021222</v>
      </c>
      <c r="M37" s="13">
        <f t="shared" si="13"/>
        <v>2</v>
      </c>
      <c r="N37" s="43">
        <v>46140</v>
      </c>
      <c r="O37" s="30" t="s">
        <v>101</v>
      </c>
      <c r="P37" s="16" t="s">
        <v>102</v>
      </c>
      <c r="Q37" s="39" t="s">
        <v>445</v>
      </c>
      <c r="R37" s="42" t="s">
        <v>446</v>
      </c>
      <c r="S37" s="13" t="s">
        <v>105</v>
      </c>
      <c r="T37" s="24">
        <v>250</v>
      </c>
      <c r="U37" s="24">
        <v>500</v>
      </c>
      <c r="V37" s="18">
        <f t="shared" si="3"/>
        <v>125000</v>
      </c>
      <c r="W37" s="24">
        <v>0</v>
      </c>
      <c r="X37" s="18">
        <f t="shared" si="22"/>
        <v>125000</v>
      </c>
      <c r="Y37" s="16" t="s">
        <v>486</v>
      </c>
      <c r="Z37" s="14">
        <v>46173</v>
      </c>
      <c r="AA37" s="13" t="s">
        <v>487</v>
      </c>
      <c r="AB37" s="13">
        <v>25.33</v>
      </c>
      <c r="AC37" s="13" t="s">
        <v>488</v>
      </c>
      <c r="AD37" s="13">
        <v>25.58</v>
      </c>
      <c r="AE37" s="13" t="s">
        <v>110</v>
      </c>
      <c r="AF37" s="13" t="s">
        <v>110</v>
      </c>
      <c r="AG37" s="13" t="s">
        <v>110</v>
      </c>
      <c r="AH37" s="13" t="s">
        <v>110</v>
      </c>
      <c r="AI37" s="13" t="s">
        <v>110</v>
      </c>
      <c r="AJ37" s="13" t="s">
        <v>110</v>
      </c>
      <c r="AK37" s="13">
        <v>50910</v>
      </c>
      <c r="AL37" s="13" t="s">
        <v>449</v>
      </c>
      <c r="AM37" s="13" t="s">
        <v>112</v>
      </c>
      <c r="AN37" s="16" t="s">
        <v>489</v>
      </c>
      <c r="AO37" s="16" t="s">
        <v>490</v>
      </c>
      <c r="AP37" s="13" t="s">
        <v>115</v>
      </c>
      <c r="AQ37" s="13" t="s">
        <v>116</v>
      </c>
      <c r="AR37" s="13" t="s">
        <v>116</v>
      </c>
      <c r="AS37" s="13">
        <v>72044900</v>
      </c>
      <c r="AT37" s="13" t="s">
        <v>117</v>
      </c>
      <c r="AU37" s="13" t="s">
        <v>491</v>
      </c>
      <c r="AV37" s="13" t="s">
        <v>119</v>
      </c>
      <c r="AW37" s="24">
        <v>2400</v>
      </c>
      <c r="AX37" s="16" t="s">
        <v>492</v>
      </c>
      <c r="AY37" s="16" t="s">
        <v>493</v>
      </c>
      <c r="AZ37" s="14">
        <v>46277</v>
      </c>
      <c r="BA37" s="13">
        <v>50.91</v>
      </c>
      <c r="BB37" s="24">
        <v>500</v>
      </c>
      <c r="BC37" s="24">
        <v>0</v>
      </c>
      <c r="BD37" s="24">
        <v>94.72</v>
      </c>
      <c r="BE37" s="24">
        <f>BA37*BB37</f>
        <v>25455</v>
      </c>
      <c r="BF37" s="18">
        <v>0</v>
      </c>
      <c r="BG37" s="13" t="s">
        <v>110</v>
      </c>
      <c r="BH37" s="20">
        <f t="shared" si="21"/>
        <v>25455</v>
      </c>
      <c r="BI37" s="24">
        <f t="shared" si="5"/>
        <v>2494590</v>
      </c>
      <c r="BJ37" s="18">
        <f t="shared" si="17"/>
        <v>25455</v>
      </c>
      <c r="BK37" s="24">
        <f t="shared" si="6"/>
        <v>2948667.7447500001</v>
      </c>
      <c r="BL37" s="24">
        <f t="shared" si="25"/>
        <v>2411097.6</v>
      </c>
      <c r="BM37" s="14">
        <v>46274</v>
      </c>
      <c r="BN37" s="24">
        <v>0</v>
      </c>
      <c r="BO37" s="24">
        <v>0</v>
      </c>
      <c r="BP37" s="24">
        <f t="shared" si="19"/>
        <v>0</v>
      </c>
      <c r="BQ37" s="24">
        <f>6911.1+2542</f>
        <v>9453.1</v>
      </c>
      <c r="BR37" s="13" t="s">
        <v>122</v>
      </c>
      <c r="BS37" s="13" t="s">
        <v>169</v>
      </c>
      <c r="BT37" s="13" t="s">
        <v>124</v>
      </c>
      <c r="BU37" s="13" t="s">
        <v>125</v>
      </c>
      <c r="BV37" s="13" t="s">
        <v>354</v>
      </c>
      <c r="BW37" s="16" t="s">
        <v>355</v>
      </c>
      <c r="BY37" s="13" t="s">
        <v>124</v>
      </c>
      <c r="BZ37" s="24">
        <f>4500+29000+1000+3000+800+4000+1000+10000+340+860+2000</f>
        <v>56500</v>
      </c>
      <c r="CA37" s="18" t="s">
        <v>130</v>
      </c>
      <c r="CB37" s="22" t="s">
        <v>110</v>
      </c>
      <c r="CC37" s="33" t="s">
        <v>110</v>
      </c>
      <c r="CD37" s="18" t="s">
        <v>110</v>
      </c>
      <c r="CE37" s="24" t="s">
        <v>124</v>
      </c>
      <c r="CF37" s="13" t="s">
        <v>124</v>
      </c>
      <c r="CG37" s="13">
        <v>3468599</v>
      </c>
      <c r="CH37" s="13" t="s">
        <v>100</v>
      </c>
      <c r="CI37" s="24">
        <v>96.5</v>
      </c>
      <c r="CJ37" s="24">
        <f t="shared" si="8"/>
        <v>454077.74475000001</v>
      </c>
      <c r="CK37" s="51">
        <v>25455</v>
      </c>
      <c r="CL37" s="24">
        <f t="shared" si="14"/>
        <v>2456408</v>
      </c>
      <c r="CM37" s="24">
        <v>0</v>
      </c>
      <c r="CN37" s="18">
        <f t="shared" si="9"/>
        <v>2456408</v>
      </c>
      <c r="CO37" s="18">
        <f t="shared" si="23"/>
        <v>442153</v>
      </c>
      <c r="CP37" s="24">
        <v>0</v>
      </c>
      <c r="CQ37" s="18">
        <f t="shared" si="11"/>
        <v>442153</v>
      </c>
      <c r="CR37" s="24"/>
      <c r="CS37" s="14">
        <v>46281</v>
      </c>
      <c r="CT37" s="13" t="s">
        <v>110</v>
      </c>
      <c r="CU37" s="13" t="s">
        <v>494</v>
      </c>
      <c r="CV37" s="16" t="s">
        <v>261</v>
      </c>
    </row>
    <row r="38" spans="1:100" s="13" customFormat="1" ht="43.2">
      <c r="A38" s="12" t="s">
        <v>288</v>
      </c>
      <c r="B38" s="13" t="str">
        <f t="shared" si="12"/>
        <v>782627</v>
      </c>
      <c r="C38" s="13" t="s">
        <v>96</v>
      </c>
      <c r="D38" s="13" t="s">
        <v>97</v>
      </c>
      <c r="E38" s="42" t="s">
        <v>495</v>
      </c>
      <c r="F38" s="43">
        <v>46266</v>
      </c>
      <c r="G38" s="14">
        <f t="shared" si="24"/>
        <v>46279</v>
      </c>
      <c r="H38" s="15" t="s">
        <v>99</v>
      </c>
      <c r="I38" s="15" t="s">
        <v>100</v>
      </c>
      <c r="J38" s="15" t="s">
        <v>100</v>
      </c>
      <c r="K38" s="43">
        <v>46247</v>
      </c>
      <c r="L38" s="42">
        <v>1620021222</v>
      </c>
      <c r="M38" s="13">
        <f t="shared" si="13"/>
        <v>2</v>
      </c>
      <c r="N38" s="43">
        <v>46140</v>
      </c>
      <c r="O38" s="30" t="s">
        <v>101</v>
      </c>
      <c r="P38" s="16" t="s">
        <v>102</v>
      </c>
      <c r="Q38" s="39" t="s">
        <v>445</v>
      </c>
      <c r="R38" s="42" t="s">
        <v>446</v>
      </c>
      <c r="S38" s="13" t="s">
        <v>105</v>
      </c>
      <c r="T38" s="24">
        <v>250</v>
      </c>
      <c r="U38" s="24">
        <v>500</v>
      </c>
      <c r="V38" s="18">
        <f t="shared" si="3"/>
        <v>125000</v>
      </c>
      <c r="W38" s="24">
        <v>0</v>
      </c>
      <c r="X38" s="18">
        <f t="shared" si="22"/>
        <v>125000</v>
      </c>
      <c r="Y38" s="16" t="s">
        <v>496</v>
      </c>
      <c r="Z38" s="14">
        <v>46164</v>
      </c>
      <c r="AA38" s="13" t="s">
        <v>497</v>
      </c>
      <c r="AB38" s="13">
        <v>25.98</v>
      </c>
      <c r="AC38" s="13" t="s">
        <v>498</v>
      </c>
      <c r="AD38" s="13">
        <v>25.49</v>
      </c>
      <c r="AE38" s="13" t="s">
        <v>110</v>
      </c>
      <c r="AF38" s="13" t="s">
        <v>110</v>
      </c>
      <c r="AG38" s="13" t="s">
        <v>110</v>
      </c>
      <c r="AH38" s="13" t="s">
        <v>110</v>
      </c>
      <c r="AI38" s="13" t="s">
        <v>110</v>
      </c>
      <c r="AJ38" s="13" t="s">
        <v>110</v>
      </c>
      <c r="AK38" s="13">
        <v>51470</v>
      </c>
      <c r="AL38" s="13" t="s">
        <v>449</v>
      </c>
      <c r="AM38" s="13" t="s">
        <v>112</v>
      </c>
      <c r="AN38" s="16" t="s">
        <v>499</v>
      </c>
      <c r="AO38" s="16" t="s">
        <v>490</v>
      </c>
      <c r="AP38" s="13" t="s">
        <v>115</v>
      </c>
      <c r="AQ38" s="13" t="s">
        <v>116</v>
      </c>
      <c r="AR38" s="13" t="s">
        <v>116</v>
      </c>
      <c r="AS38" s="13">
        <v>72044900</v>
      </c>
      <c r="AT38" s="13" t="s">
        <v>117</v>
      </c>
      <c r="AU38" s="13" t="s">
        <v>500</v>
      </c>
      <c r="AV38" s="13" t="s">
        <v>119</v>
      </c>
      <c r="AW38" s="24">
        <v>800</v>
      </c>
      <c r="AX38" s="16" t="s">
        <v>501</v>
      </c>
      <c r="AY38" s="16" t="s">
        <v>502</v>
      </c>
      <c r="AZ38" s="14">
        <v>46246</v>
      </c>
      <c r="BA38" s="13">
        <v>51.47</v>
      </c>
      <c r="BB38" s="24">
        <v>500</v>
      </c>
      <c r="BC38" s="24">
        <v>0</v>
      </c>
      <c r="BD38" s="24">
        <v>94.72</v>
      </c>
      <c r="BE38" s="24">
        <f t="shared" si="15"/>
        <v>25735</v>
      </c>
      <c r="BF38" s="18">
        <v>0</v>
      </c>
      <c r="BG38" s="13" t="s">
        <v>110</v>
      </c>
      <c r="BH38" s="20">
        <f t="shared" si="21"/>
        <v>25735</v>
      </c>
      <c r="BI38" s="24">
        <f t="shared" si="5"/>
        <v>2522030</v>
      </c>
      <c r="BJ38" s="18">
        <f>BH38</f>
        <v>25735</v>
      </c>
      <c r="BK38" s="24">
        <f t="shared" si="6"/>
        <v>2981102.5107499999</v>
      </c>
      <c r="BL38" s="24">
        <f t="shared" si="25"/>
        <v>2437619.2000000002</v>
      </c>
      <c r="BM38" s="14">
        <v>46274</v>
      </c>
      <c r="BN38" s="24">
        <v>0</v>
      </c>
      <c r="BO38" s="24">
        <v>0</v>
      </c>
      <c r="BP38" s="24">
        <f t="shared" si="19"/>
        <v>0</v>
      </c>
      <c r="BQ38" s="24">
        <f>6937.62+2546.78</f>
        <v>9484.4</v>
      </c>
      <c r="BR38" s="13" t="s">
        <v>122</v>
      </c>
      <c r="BS38" s="13" t="s">
        <v>169</v>
      </c>
      <c r="BT38" s="13" t="s">
        <v>124</v>
      </c>
      <c r="BU38" s="13" t="s">
        <v>125</v>
      </c>
      <c r="BV38" s="13" t="s">
        <v>354</v>
      </c>
      <c r="BW38" s="16" t="s">
        <v>355</v>
      </c>
      <c r="BY38" s="13" t="s">
        <v>124</v>
      </c>
      <c r="BZ38" s="24">
        <f>4500+29000+1000+3000+800+4000+1000+10000+340+860+2000</f>
        <v>56500</v>
      </c>
      <c r="CA38" s="18" t="s">
        <v>130</v>
      </c>
      <c r="CB38" s="22" t="s">
        <v>110</v>
      </c>
      <c r="CC38" s="33" t="s">
        <v>110</v>
      </c>
      <c r="CD38" s="18" t="s">
        <v>110</v>
      </c>
      <c r="CE38" s="24" t="s">
        <v>124</v>
      </c>
      <c r="CF38" s="13" t="s">
        <v>124</v>
      </c>
      <c r="CG38" s="13">
        <v>3469200</v>
      </c>
      <c r="CH38" s="13" t="s">
        <v>100</v>
      </c>
      <c r="CI38" s="24">
        <v>96.5</v>
      </c>
      <c r="CJ38" s="24">
        <f t="shared" si="8"/>
        <v>459072.51074999996</v>
      </c>
      <c r="CK38" s="24">
        <v>25735</v>
      </c>
      <c r="CL38" s="24">
        <f t="shared" si="14"/>
        <v>2483428</v>
      </c>
      <c r="CM38" s="24">
        <v>0</v>
      </c>
      <c r="CN38" s="18">
        <f t="shared" si="9"/>
        <v>2483428</v>
      </c>
      <c r="CO38" s="18">
        <f t="shared" si="23"/>
        <v>447017</v>
      </c>
      <c r="CP38" s="24">
        <v>0</v>
      </c>
      <c r="CQ38" s="18">
        <f t="shared" si="11"/>
        <v>447017</v>
      </c>
      <c r="CR38" s="24"/>
      <c r="CS38" s="14">
        <v>46281</v>
      </c>
      <c r="CT38" s="13" t="s">
        <v>110</v>
      </c>
      <c r="CU38" s="13" t="s">
        <v>503</v>
      </c>
      <c r="CV38" s="16" t="s">
        <v>261</v>
      </c>
    </row>
    <row r="39" spans="1:100" s="13" customFormat="1" ht="43.2">
      <c r="A39" s="12" t="s">
        <v>288</v>
      </c>
      <c r="B39" s="13" t="str">
        <f t="shared" si="12"/>
        <v>090250</v>
      </c>
      <c r="C39" s="13" t="s">
        <v>96</v>
      </c>
      <c r="D39" s="13" t="s">
        <v>97</v>
      </c>
      <c r="E39" s="42" t="s">
        <v>504</v>
      </c>
      <c r="F39" s="43">
        <v>46212</v>
      </c>
      <c r="G39" s="43">
        <f t="shared" si="24"/>
        <v>46225</v>
      </c>
      <c r="H39" s="15" t="s">
        <v>99</v>
      </c>
      <c r="I39" s="15" t="s">
        <v>100</v>
      </c>
      <c r="J39" s="15" t="s">
        <v>100</v>
      </c>
      <c r="K39" s="43">
        <v>46209</v>
      </c>
      <c r="L39" s="42">
        <v>1620021229</v>
      </c>
      <c r="M39" s="13">
        <f t="shared" si="13"/>
        <v>2</v>
      </c>
      <c r="N39" s="43">
        <v>46162</v>
      </c>
      <c r="O39" s="30" t="s">
        <v>101</v>
      </c>
      <c r="P39" s="16" t="s">
        <v>102</v>
      </c>
      <c r="Q39" s="39" t="s">
        <v>505</v>
      </c>
      <c r="R39" s="42" t="s">
        <v>506</v>
      </c>
      <c r="S39" s="13" t="s">
        <v>274</v>
      </c>
      <c r="T39" s="24">
        <v>200</v>
      </c>
      <c r="U39" s="24">
        <v>1380</v>
      </c>
      <c r="V39" s="18">
        <f t="shared" si="3"/>
        <v>276000</v>
      </c>
      <c r="W39" s="24">
        <v>0</v>
      </c>
      <c r="X39" s="18">
        <f t="shared" si="22"/>
        <v>276000</v>
      </c>
      <c r="Y39" s="19" t="s">
        <v>507</v>
      </c>
      <c r="Z39" s="14">
        <v>46165</v>
      </c>
      <c r="AA39" s="13" t="s">
        <v>508</v>
      </c>
      <c r="AB39" s="45">
        <v>25.86</v>
      </c>
      <c r="AC39" s="13" t="s">
        <v>509</v>
      </c>
      <c r="AD39" s="45">
        <v>24.3</v>
      </c>
      <c r="AE39" s="13" t="s">
        <v>110</v>
      </c>
      <c r="AF39" s="13" t="s">
        <v>110</v>
      </c>
      <c r="AG39" s="13" t="s">
        <v>110</v>
      </c>
      <c r="AH39" s="13" t="s">
        <v>110</v>
      </c>
      <c r="AI39" s="13" t="s">
        <v>110</v>
      </c>
      <c r="AJ39" s="13" t="s">
        <v>110</v>
      </c>
      <c r="AK39" s="13">
        <v>50160</v>
      </c>
      <c r="AL39" s="16" t="s">
        <v>510</v>
      </c>
      <c r="AM39" s="13" t="s">
        <v>112</v>
      </c>
      <c r="AN39" s="16" t="s">
        <v>511</v>
      </c>
      <c r="AO39" s="16" t="s">
        <v>512</v>
      </c>
      <c r="AP39" s="13" t="s">
        <v>115</v>
      </c>
      <c r="AQ39" s="13" t="s">
        <v>116</v>
      </c>
      <c r="AR39" s="13" t="s">
        <v>116</v>
      </c>
      <c r="AS39" s="13">
        <v>72044900</v>
      </c>
      <c r="AT39" s="13" t="s">
        <v>117</v>
      </c>
      <c r="AU39" s="13" t="s">
        <v>513</v>
      </c>
      <c r="AV39" s="13" t="s">
        <v>119</v>
      </c>
      <c r="AW39" s="24">
        <v>800</v>
      </c>
      <c r="AX39" s="13" t="s">
        <v>514</v>
      </c>
      <c r="AY39" s="16" t="s">
        <v>515</v>
      </c>
      <c r="AZ39" s="14">
        <v>46209</v>
      </c>
      <c r="BA39" s="13">
        <v>50.16</v>
      </c>
      <c r="BB39" s="24">
        <v>1380</v>
      </c>
      <c r="BC39" s="24">
        <v>0</v>
      </c>
      <c r="BD39" s="24">
        <v>95.2</v>
      </c>
      <c r="BE39" s="24">
        <f t="shared" si="15"/>
        <v>69220.799999999988</v>
      </c>
      <c r="BF39" s="18">
        <v>0</v>
      </c>
      <c r="BG39" s="13" t="s">
        <v>110</v>
      </c>
      <c r="BH39" s="20">
        <f t="shared" si="21"/>
        <v>69220.800000000003</v>
      </c>
      <c r="BI39" s="24">
        <f t="shared" si="5"/>
        <v>6783638.4000000004</v>
      </c>
      <c r="BJ39" s="18">
        <f t="shared" si="17"/>
        <v>69220.800000000003</v>
      </c>
      <c r="BK39" s="24">
        <f t="shared" si="6"/>
        <v>8018430.1797600007</v>
      </c>
      <c r="BL39" s="24">
        <f t="shared" si="25"/>
        <v>6589820.1600000001</v>
      </c>
      <c r="BM39" s="14">
        <v>46230</v>
      </c>
      <c r="BN39" s="24">
        <v>0</v>
      </c>
      <c r="BO39" s="24">
        <v>0</v>
      </c>
      <c r="BP39" s="24">
        <f t="shared" si="19"/>
        <v>0</v>
      </c>
      <c r="BQ39" s="24">
        <f>11187.77+3311.8</f>
        <v>14499.57</v>
      </c>
      <c r="BR39" s="13" t="s">
        <v>122</v>
      </c>
      <c r="BS39" s="13" t="s">
        <v>123</v>
      </c>
      <c r="BT39" s="13" t="s">
        <v>124</v>
      </c>
      <c r="BU39" s="13" t="s">
        <v>299</v>
      </c>
      <c r="BV39" s="13" t="s">
        <v>354</v>
      </c>
      <c r="BW39" s="16" t="s">
        <v>355</v>
      </c>
      <c r="BX39" s="13">
        <v>202</v>
      </c>
      <c r="BY39" s="13" t="s">
        <v>124</v>
      </c>
      <c r="BZ39" s="24">
        <v>57797.9</v>
      </c>
      <c r="CA39" s="18" t="s">
        <v>130</v>
      </c>
      <c r="CB39" s="22" t="s">
        <v>110</v>
      </c>
      <c r="CC39" s="33" t="s">
        <v>110</v>
      </c>
      <c r="CD39" s="18" t="s">
        <v>110</v>
      </c>
      <c r="CE39" s="24" t="s">
        <v>124</v>
      </c>
      <c r="CF39" s="13" t="s">
        <v>124</v>
      </c>
      <c r="CG39" s="13">
        <v>2449906</v>
      </c>
      <c r="CH39" s="13" t="s">
        <v>100</v>
      </c>
      <c r="CI39" s="24">
        <v>95.2</v>
      </c>
      <c r="CJ39" s="24">
        <f t="shared" si="8"/>
        <v>1234791.7797600001</v>
      </c>
      <c r="CK39" s="24">
        <v>69220.800000000003</v>
      </c>
      <c r="CL39" s="24">
        <f t="shared" si="14"/>
        <v>6589820</v>
      </c>
      <c r="CM39" s="24">
        <v>0</v>
      </c>
      <c r="CN39" s="18">
        <f t="shared" si="9"/>
        <v>6589820</v>
      </c>
      <c r="CO39" s="18">
        <f t="shared" si="23"/>
        <v>1186168</v>
      </c>
      <c r="CP39" s="24">
        <v>2925</v>
      </c>
      <c r="CQ39" s="18">
        <f t="shared" si="11"/>
        <v>1189093</v>
      </c>
      <c r="CR39" s="24">
        <f>34000+22200+16000+177+7780+3200+3200+600+500+112</f>
        <v>87769</v>
      </c>
      <c r="CS39" s="14">
        <v>46233</v>
      </c>
      <c r="CT39" s="13" t="s">
        <v>110</v>
      </c>
      <c r="CU39" s="13" t="s">
        <v>516</v>
      </c>
    </row>
    <row r="40" spans="1:100" s="13" customFormat="1" ht="43.2">
      <c r="A40" s="12" t="s">
        <v>288</v>
      </c>
      <c r="B40" s="13" t="str">
        <f t="shared" si="12"/>
        <v>090251</v>
      </c>
      <c r="C40" s="13" t="s">
        <v>96</v>
      </c>
      <c r="D40" s="13" t="s">
        <v>97</v>
      </c>
      <c r="E40" s="42" t="s">
        <v>517</v>
      </c>
      <c r="F40" s="43">
        <v>46212</v>
      </c>
      <c r="G40" s="43">
        <f t="shared" si="24"/>
        <v>46225</v>
      </c>
      <c r="H40" s="15" t="s">
        <v>99</v>
      </c>
      <c r="I40" s="15" t="s">
        <v>100</v>
      </c>
      <c r="J40" s="15" t="s">
        <v>100</v>
      </c>
      <c r="K40" s="43">
        <v>46194</v>
      </c>
      <c r="L40" s="42">
        <v>1620021229</v>
      </c>
      <c r="M40" s="13">
        <f t="shared" si="13"/>
        <v>2</v>
      </c>
      <c r="N40" s="43">
        <v>46162</v>
      </c>
      <c r="O40" s="30" t="s">
        <v>101</v>
      </c>
      <c r="P40" s="16" t="s">
        <v>102</v>
      </c>
      <c r="Q40" s="39" t="s">
        <v>505</v>
      </c>
      <c r="R40" s="42" t="s">
        <v>506</v>
      </c>
      <c r="S40" s="13" t="s">
        <v>274</v>
      </c>
      <c r="T40" s="24">
        <v>200</v>
      </c>
      <c r="U40" s="24">
        <v>1380</v>
      </c>
      <c r="V40" s="18">
        <f t="shared" si="3"/>
        <v>276000</v>
      </c>
      <c r="W40" s="24">
        <v>0</v>
      </c>
      <c r="X40" s="18">
        <f t="shared" si="22"/>
        <v>276000</v>
      </c>
      <c r="Y40" s="19" t="s">
        <v>518</v>
      </c>
      <c r="Z40" s="14">
        <v>46165</v>
      </c>
      <c r="AA40" s="13" t="s">
        <v>519</v>
      </c>
      <c r="AB40" s="13">
        <v>25.08</v>
      </c>
      <c r="AC40" s="13" t="s">
        <v>520</v>
      </c>
      <c r="AD40" s="13">
        <v>24.63</v>
      </c>
      <c r="AE40" s="13" t="s">
        <v>110</v>
      </c>
      <c r="AF40" s="13" t="s">
        <v>110</v>
      </c>
      <c r="AG40" s="13" t="s">
        <v>110</v>
      </c>
      <c r="AH40" s="13" t="s">
        <v>110</v>
      </c>
      <c r="AI40" s="13" t="s">
        <v>110</v>
      </c>
      <c r="AJ40" s="13" t="s">
        <v>110</v>
      </c>
      <c r="AK40" s="13">
        <v>49710</v>
      </c>
      <c r="AL40" s="16" t="s">
        <v>510</v>
      </c>
      <c r="AM40" s="13" t="s">
        <v>112</v>
      </c>
      <c r="AN40" s="16" t="s">
        <v>521</v>
      </c>
      <c r="AO40" s="16" t="s">
        <v>350</v>
      </c>
      <c r="AP40" s="13" t="s">
        <v>115</v>
      </c>
      <c r="AQ40" s="13" t="s">
        <v>116</v>
      </c>
      <c r="AR40" s="13" t="s">
        <v>116</v>
      </c>
      <c r="AS40" s="13">
        <v>72044900</v>
      </c>
      <c r="AT40" s="13" t="s">
        <v>117</v>
      </c>
      <c r="AU40" s="13" t="s">
        <v>522</v>
      </c>
      <c r="AV40" s="13" t="s">
        <v>119</v>
      </c>
      <c r="AW40" s="24">
        <v>800</v>
      </c>
      <c r="AX40" s="13" t="s">
        <v>523</v>
      </c>
      <c r="AY40" s="16" t="s">
        <v>524</v>
      </c>
      <c r="AZ40" s="14">
        <v>46194</v>
      </c>
      <c r="BA40" s="13">
        <f>24.63+25.08</f>
        <v>49.709999999999994</v>
      </c>
      <c r="BB40" s="24">
        <v>1380</v>
      </c>
      <c r="BC40" s="24">
        <v>0</v>
      </c>
      <c r="BD40" s="24">
        <v>94.49</v>
      </c>
      <c r="BE40" s="24">
        <f t="shared" si="15"/>
        <v>68599.799999999988</v>
      </c>
      <c r="BF40" s="18">
        <v>0</v>
      </c>
      <c r="BG40" s="13" t="s">
        <v>110</v>
      </c>
      <c r="BH40" s="20">
        <f t="shared" si="21"/>
        <v>68599.8</v>
      </c>
      <c r="BI40" s="24">
        <f t="shared" si="5"/>
        <v>6722780.4000000004</v>
      </c>
      <c r="BJ40" s="18">
        <f t="shared" si="17"/>
        <v>68599.8</v>
      </c>
      <c r="BK40" s="24">
        <f t="shared" si="6"/>
        <v>7946494.5023100004</v>
      </c>
      <c r="BL40" s="24">
        <f t="shared" si="25"/>
        <v>6481995.102</v>
      </c>
      <c r="BM40" s="14">
        <v>46204</v>
      </c>
      <c r="BN40" s="24">
        <v>0</v>
      </c>
      <c r="BO40" s="24">
        <v>0</v>
      </c>
      <c r="BP40" s="24">
        <f t="shared" si="19"/>
        <v>0</v>
      </c>
      <c r="BQ40" s="24">
        <f>10982+3274.76</f>
        <v>14256.76</v>
      </c>
      <c r="BR40" s="13" t="s">
        <v>122</v>
      </c>
      <c r="BS40" s="13" t="s">
        <v>525</v>
      </c>
      <c r="BT40" s="13" t="s">
        <v>124</v>
      </c>
      <c r="BU40" s="13" t="s">
        <v>299</v>
      </c>
      <c r="BV40" s="13" t="s">
        <v>354</v>
      </c>
      <c r="BW40" s="16" t="s">
        <v>355</v>
      </c>
      <c r="BX40" s="13">
        <v>169</v>
      </c>
      <c r="BY40" s="13" t="s">
        <v>124</v>
      </c>
      <c r="BZ40" s="24">
        <v>60510.69</v>
      </c>
      <c r="CA40" s="18" t="s">
        <v>130</v>
      </c>
      <c r="CB40" s="22" t="s">
        <v>110</v>
      </c>
      <c r="CC40" s="33" t="s">
        <v>110</v>
      </c>
      <c r="CD40" s="18" t="s">
        <v>110</v>
      </c>
      <c r="CE40" s="24" t="s">
        <v>124</v>
      </c>
      <c r="CF40" s="13" t="s">
        <v>124</v>
      </c>
      <c r="CG40" s="13">
        <v>2158669</v>
      </c>
      <c r="CH40" s="13" t="s">
        <v>100</v>
      </c>
      <c r="CI40" s="24">
        <v>95.3</v>
      </c>
      <c r="CJ40" s="24">
        <f t="shared" si="8"/>
        <v>1223714.10231</v>
      </c>
      <c r="CK40" s="24">
        <v>68599.8</v>
      </c>
      <c r="CL40" s="24">
        <f t="shared" si="14"/>
        <v>6537561</v>
      </c>
      <c r="CM40" s="24">
        <v>0</v>
      </c>
      <c r="CN40" s="18">
        <f t="shared" si="9"/>
        <v>6537561</v>
      </c>
      <c r="CO40" s="18">
        <f t="shared" si="23"/>
        <v>1176761</v>
      </c>
      <c r="CP40" s="24">
        <v>3869</v>
      </c>
      <c r="CQ40" s="18">
        <f t="shared" si="11"/>
        <v>1180630</v>
      </c>
      <c r="CR40" s="24">
        <f>68200+17779</f>
        <v>85979</v>
      </c>
      <c r="CS40" s="14">
        <v>46217</v>
      </c>
      <c r="CT40" s="13" t="s">
        <v>110</v>
      </c>
      <c r="CU40" s="13" t="s">
        <v>526</v>
      </c>
    </row>
    <row r="41" spans="1:100" s="13" customFormat="1" ht="43.2">
      <c r="A41" s="12" t="s">
        <v>288</v>
      </c>
      <c r="B41" s="13" t="str">
        <f t="shared" si="12"/>
        <v>090253</v>
      </c>
      <c r="C41" s="13" t="s">
        <v>96</v>
      </c>
      <c r="D41" s="13" t="s">
        <v>97</v>
      </c>
      <c r="E41" s="42" t="s">
        <v>527</v>
      </c>
      <c r="F41" s="43">
        <v>46212</v>
      </c>
      <c r="G41" s="43">
        <f t="shared" si="24"/>
        <v>46225</v>
      </c>
      <c r="H41" s="15" t="s">
        <v>99</v>
      </c>
      <c r="I41" s="15" t="s">
        <v>100</v>
      </c>
      <c r="J41" s="15" t="s">
        <v>100</v>
      </c>
      <c r="K41" s="43">
        <v>46194</v>
      </c>
      <c r="L41" s="42">
        <v>1620021229</v>
      </c>
      <c r="M41" s="13">
        <f t="shared" si="13"/>
        <v>2</v>
      </c>
      <c r="N41" s="43">
        <v>46162</v>
      </c>
      <c r="O41" s="30" t="s">
        <v>101</v>
      </c>
      <c r="P41" s="16" t="s">
        <v>102</v>
      </c>
      <c r="Q41" s="39" t="s">
        <v>505</v>
      </c>
      <c r="R41" s="42" t="s">
        <v>506</v>
      </c>
      <c r="S41" s="13" t="s">
        <v>274</v>
      </c>
      <c r="T41" s="24">
        <v>200</v>
      </c>
      <c r="U41" s="24">
        <v>1380</v>
      </c>
      <c r="V41" s="18">
        <f t="shared" si="3"/>
        <v>276000</v>
      </c>
      <c r="W41" s="24">
        <v>0</v>
      </c>
      <c r="X41" s="18">
        <f t="shared" si="22"/>
        <v>276000</v>
      </c>
      <c r="Y41" s="19" t="s">
        <v>528</v>
      </c>
      <c r="Z41" s="14">
        <v>46165</v>
      </c>
      <c r="AA41" s="13" t="s">
        <v>529</v>
      </c>
      <c r="AB41" s="13">
        <v>24.4</v>
      </c>
      <c r="AC41" s="13" t="s">
        <v>530</v>
      </c>
      <c r="AD41" s="13">
        <v>25.63</v>
      </c>
      <c r="AE41" s="13" t="s">
        <v>110</v>
      </c>
      <c r="AF41" s="13" t="s">
        <v>110</v>
      </c>
      <c r="AG41" s="13" t="s">
        <v>110</v>
      </c>
      <c r="AH41" s="13" t="s">
        <v>110</v>
      </c>
      <c r="AI41" s="13" t="s">
        <v>110</v>
      </c>
      <c r="AJ41" s="13" t="s">
        <v>110</v>
      </c>
      <c r="AK41" s="13">
        <v>50030</v>
      </c>
      <c r="AL41" s="16" t="s">
        <v>510</v>
      </c>
      <c r="AM41" s="13" t="s">
        <v>112</v>
      </c>
      <c r="AN41" s="16" t="s">
        <v>531</v>
      </c>
      <c r="AO41" s="16" t="s">
        <v>350</v>
      </c>
      <c r="AP41" s="13" t="s">
        <v>115</v>
      </c>
      <c r="AQ41" s="13" t="s">
        <v>116</v>
      </c>
      <c r="AR41" s="13" t="s">
        <v>116</v>
      </c>
      <c r="AS41" s="13">
        <v>72044900</v>
      </c>
      <c r="AT41" s="13" t="s">
        <v>117</v>
      </c>
      <c r="AU41" s="13" t="s">
        <v>532</v>
      </c>
      <c r="AV41" s="13" t="s">
        <v>119</v>
      </c>
      <c r="AW41" s="24">
        <v>800</v>
      </c>
      <c r="AX41" s="13" t="s">
        <v>533</v>
      </c>
      <c r="AY41" s="16" t="s">
        <v>534</v>
      </c>
      <c r="AZ41" s="14">
        <v>46194</v>
      </c>
      <c r="BA41" s="13">
        <f>25.63+24.4</f>
        <v>50.03</v>
      </c>
      <c r="BB41" s="24">
        <v>1380</v>
      </c>
      <c r="BC41" s="24">
        <v>0</v>
      </c>
      <c r="BD41" s="24">
        <v>94.49</v>
      </c>
      <c r="BE41" s="24">
        <f t="shared" si="15"/>
        <v>69041.400000000009</v>
      </c>
      <c r="BF41" s="18">
        <v>0</v>
      </c>
      <c r="BG41" s="13" t="s">
        <v>110</v>
      </c>
      <c r="BH41" s="20">
        <f t="shared" si="21"/>
        <v>69041.399999999994</v>
      </c>
      <c r="BI41" s="24">
        <f t="shared" si="5"/>
        <v>6766057.1999999993</v>
      </c>
      <c r="BJ41" s="18">
        <f t="shared" si="17"/>
        <v>69041.399999999994</v>
      </c>
      <c r="BK41" s="24">
        <f t="shared" si="6"/>
        <v>7997648.7618299993</v>
      </c>
      <c r="BL41" s="24">
        <f t="shared" si="25"/>
        <v>6523721.885999999</v>
      </c>
      <c r="BM41" s="14">
        <v>46204</v>
      </c>
      <c r="BN41" s="24">
        <v>0</v>
      </c>
      <c r="BO41" s="24">
        <v>0</v>
      </c>
      <c r="BP41" s="24">
        <f t="shared" si="19"/>
        <v>0</v>
      </c>
      <c r="BQ41" s="24">
        <f>11023.72+3282.26</f>
        <v>14305.98</v>
      </c>
      <c r="BR41" s="13" t="s">
        <v>122</v>
      </c>
      <c r="BS41" s="13" t="s">
        <v>525</v>
      </c>
      <c r="BT41" s="13" t="s">
        <v>124</v>
      </c>
      <c r="BU41" s="13" t="s">
        <v>299</v>
      </c>
      <c r="BV41" s="13" t="s">
        <v>354</v>
      </c>
      <c r="BW41" s="16" t="s">
        <v>355</v>
      </c>
      <c r="BX41" s="13">
        <v>171</v>
      </c>
      <c r="BY41" s="13" t="s">
        <v>124</v>
      </c>
      <c r="BZ41" s="24">
        <v>61414.95</v>
      </c>
      <c r="CA41" s="18" t="s">
        <v>130</v>
      </c>
      <c r="CB41" s="22" t="s">
        <v>110</v>
      </c>
      <c r="CC41" s="33" t="s">
        <v>110</v>
      </c>
      <c r="CD41" s="18" t="s">
        <v>110</v>
      </c>
      <c r="CE41" s="24" t="s">
        <v>124</v>
      </c>
      <c r="CF41" s="13" t="s">
        <v>124</v>
      </c>
      <c r="CG41" s="13">
        <v>2159120</v>
      </c>
      <c r="CH41" s="13" t="s">
        <v>100</v>
      </c>
      <c r="CI41" s="24">
        <v>95.3</v>
      </c>
      <c r="CJ41" s="24">
        <f t="shared" si="8"/>
        <v>1231591.5618299998</v>
      </c>
      <c r="CK41" s="24">
        <v>69041.399999999994</v>
      </c>
      <c r="CL41" s="24">
        <f t="shared" si="14"/>
        <v>6579645</v>
      </c>
      <c r="CM41" s="24">
        <v>0</v>
      </c>
      <c r="CN41" s="18">
        <f t="shared" si="9"/>
        <v>6579645</v>
      </c>
      <c r="CO41" s="18">
        <f t="shared" si="23"/>
        <v>1184336</v>
      </c>
      <c r="CP41" s="24">
        <v>3894</v>
      </c>
      <c r="CQ41" s="18">
        <f t="shared" si="11"/>
        <v>1188230</v>
      </c>
      <c r="CR41" s="24">
        <f>67200+17429</f>
        <v>84629</v>
      </c>
      <c r="CS41" s="14">
        <v>46217</v>
      </c>
      <c r="CT41" s="13" t="s">
        <v>110</v>
      </c>
      <c r="CU41" s="13" t="s">
        <v>535</v>
      </c>
    </row>
    <row r="42" spans="1:100" s="13" customFormat="1" ht="43.2">
      <c r="A42" s="12" t="s">
        <v>288</v>
      </c>
      <c r="B42" s="13" t="str">
        <f t="shared" si="12"/>
        <v>090254</v>
      </c>
      <c r="C42" s="13" t="s">
        <v>96</v>
      </c>
      <c r="D42" s="13" t="s">
        <v>97</v>
      </c>
      <c r="E42" s="42" t="s">
        <v>536</v>
      </c>
      <c r="F42" s="43">
        <v>46212</v>
      </c>
      <c r="G42" s="43">
        <f t="shared" si="24"/>
        <v>46225</v>
      </c>
      <c r="H42" s="15" t="s">
        <v>99</v>
      </c>
      <c r="I42" s="15" t="s">
        <v>100</v>
      </c>
      <c r="J42" s="15" t="s">
        <v>100</v>
      </c>
      <c r="K42" s="43">
        <v>46194</v>
      </c>
      <c r="L42" s="42">
        <v>1620021229</v>
      </c>
      <c r="M42" s="13">
        <f t="shared" si="13"/>
        <v>2</v>
      </c>
      <c r="N42" s="43">
        <v>46162</v>
      </c>
      <c r="O42" s="30" t="s">
        <v>101</v>
      </c>
      <c r="P42" s="16" t="s">
        <v>102</v>
      </c>
      <c r="Q42" s="39" t="s">
        <v>505</v>
      </c>
      <c r="R42" s="42" t="s">
        <v>506</v>
      </c>
      <c r="S42" s="13" t="s">
        <v>274</v>
      </c>
      <c r="T42" s="24">
        <v>200</v>
      </c>
      <c r="U42" s="24">
        <v>1380</v>
      </c>
      <c r="V42" s="18">
        <f t="shared" si="3"/>
        <v>276000</v>
      </c>
      <c r="W42" s="24">
        <v>0</v>
      </c>
      <c r="X42" s="18">
        <f t="shared" si="22"/>
        <v>276000</v>
      </c>
      <c r="Y42" s="19" t="s">
        <v>537</v>
      </c>
      <c r="Z42" s="14">
        <v>46165</v>
      </c>
      <c r="AA42" s="13" t="s">
        <v>538</v>
      </c>
      <c r="AB42" s="13">
        <v>25.29</v>
      </c>
      <c r="AC42" s="13" t="s">
        <v>539</v>
      </c>
      <c r="AD42" s="13">
        <v>24.93</v>
      </c>
      <c r="AE42" s="13" t="s">
        <v>110</v>
      </c>
      <c r="AF42" s="13" t="s">
        <v>110</v>
      </c>
      <c r="AG42" s="13" t="s">
        <v>110</v>
      </c>
      <c r="AH42" s="13" t="s">
        <v>110</v>
      </c>
      <c r="AI42" s="13" t="s">
        <v>110</v>
      </c>
      <c r="AJ42" s="13" t="s">
        <v>110</v>
      </c>
      <c r="AK42" s="13">
        <v>50220</v>
      </c>
      <c r="AL42" s="16" t="s">
        <v>510</v>
      </c>
      <c r="AM42" s="13" t="s">
        <v>112</v>
      </c>
      <c r="AN42" s="16" t="s">
        <v>540</v>
      </c>
      <c r="AO42" s="16" t="s">
        <v>350</v>
      </c>
      <c r="AP42" s="13" t="s">
        <v>115</v>
      </c>
      <c r="AQ42" s="13" t="s">
        <v>116</v>
      </c>
      <c r="AR42" s="13" t="s">
        <v>116</v>
      </c>
      <c r="AS42" s="13">
        <v>72044900</v>
      </c>
      <c r="AT42" s="13" t="s">
        <v>117</v>
      </c>
      <c r="AU42" s="13" t="s">
        <v>541</v>
      </c>
      <c r="AV42" s="13" t="s">
        <v>119</v>
      </c>
      <c r="AW42" s="24">
        <v>800</v>
      </c>
      <c r="AX42" s="13" t="s">
        <v>542</v>
      </c>
      <c r="AY42" s="16" t="s">
        <v>543</v>
      </c>
      <c r="AZ42" s="14">
        <v>46194</v>
      </c>
      <c r="BA42" s="13">
        <f>25.29+24.93</f>
        <v>50.22</v>
      </c>
      <c r="BB42" s="24">
        <v>1380</v>
      </c>
      <c r="BC42" s="24">
        <v>0</v>
      </c>
      <c r="BD42" s="24">
        <v>95.27</v>
      </c>
      <c r="BE42" s="24">
        <f t="shared" si="15"/>
        <v>69303.599999999991</v>
      </c>
      <c r="BF42" s="18">
        <v>0</v>
      </c>
      <c r="BG42" s="13" t="s">
        <v>110</v>
      </c>
      <c r="BH42" s="20">
        <f t="shared" si="21"/>
        <v>69303.600000000006</v>
      </c>
      <c r="BI42" s="24">
        <f t="shared" si="5"/>
        <v>6791752.8000000007</v>
      </c>
      <c r="BJ42" s="18">
        <f t="shared" si="17"/>
        <v>69303.600000000006</v>
      </c>
      <c r="BK42" s="24">
        <f t="shared" si="6"/>
        <v>8028021.6034200005</v>
      </c>
      <c r="BL42" s="24">
        <f t="shared" si="25"/>
        <v>6602553.9720000001</v>
      </c>
      <c r="BM42" s="14">
        <v>46210</v>
      </c>
      <c r="BN42" s="24">
        <v>0</v>
      </c>
      <c r="BO42" s="24">
        <v>0</v>
      </c>
      <c r="BP42" s="24">
        <f t="shared" si="19"/>
        <v>0</v>
      </c>
      <c r="BQ42" s="24">
        <f>11102.55+3296.46</f>
        <v>14399.009999999998</v>
      </c>
      <c r="BR42" s="13" t="s">
        <v>122</v>
      </c>
      <c r="BS42" s="13" t="s">
        <v>525</v>
      </c>
      <c r="BT42" s="13" t="s">
        <v>124</v>
      </c>
      <c r="BU42" s="13" t="s">
        <v>299</v>
      </c>
      <c r="BV42" s="13" t="s">
        <v>354</v>
      </c>
      <c r="BW42" s="16" t="s">
        <v>355</v>
      </c>
      <c r="BX42" s="13">
        <v>168</v>
      </c>
      <c r="BY42" s="13" t="s">
        <v>124</v>
      </c>
      <c r="BZ42" s="24">
        <v>61414.95</v>
      </c>
      <c r="CA42" s="18" t="s">
        <v>130</v>
      </c>
      <c r="CB42" s="22" t="s">
        <v>110</v>
      </c>
      <c r="CC42" s="33" t="s">
        <v>110</v>
      </c>
      <c r="CD42" s="18" t="s">
        <v>110</v>
      </c>
      <c r="CE42" s="24" t="s">
        <v>124</v>
      </c>
      <c r="CF42" s="13" t="s">
        <v>124</v>
      </c>
      <c r="CG42" s="13">
        <v>2158912</v>
      </c>
      <c r="CH42" s="13" t="s">
        <v>100</v>
      </c>
      <c r="CI42" s="24">
        <v>95.3</v>
      </c>
      <c r="CJ42" s="24">
        <f t="shared" si="8"/>
        <v>1236268.8034200002</v>
      </c>
      <c r="CK42" s="24">
        <v>69303.600000000006</v>
      </c>
      <c r="CL42" s="24">
        <f t="shared" si="14"/>
        <v>6604633</v>
      </c>
      <c r="CM42" s="24">
        <v>0</v>
      </c>
      <c r="CN42" s="18">
        <f t="shared" si="9"/>
        <v>6604633</v>
      </c>
      <c r="CO42" s="18">
        <f t="shared" si="23"/>
        <v>1188834</v>
      </c>
      <c r="CP42" s="24">
        <v>4397</v>
      </c>
      <c r="CQ42" s="18">
        <f t="shared" si="11"/>
        <v>1193231</v>
      </c>
      <c r="CR42" s="24">
        <f>67200+17859</f>
        <v>85059</v>
      </c>
      <c r="CS42" s="14">
        <v>46218</v>
      </c>
      <c r="CT42" s="13" t="s">
        <v>110</v>
      </c>
      <c r="CU42" s="13" t="s">
        <v>544</v>
      </c>
    </row>
    <row r="43" spans="1:100" s="13" customFormat="1" ht="43.2">
      <c r="A43" s="12" t="s">
        <v>288</v>
      </c>
      <c r="B43" s="13" t="str">
        <f t="shared" si="12"/>
        <v>090482</v>
      </c>
      <c r="C43" s="13" t="s">
        <v>96</v>
      </c>
      <c r="D43" s="13" t="s">
        <v>97</v>
      </c>
      <c r="E43" s="13" t="s">
        <v>545</v>
      </c>
      <c r="F43" s="43">
        <v>46215</v>
      </c>
      <c r="G43" s="43">
        <f t="shared" si="24"/>
        <v>46228</v>
      </c>
      <c r="H43" s="15" t="s">
        <v>546</v>
      </c>
      <c r="I43" s="15" t="s">
        <v>100</v>
      </c>
      <c r="J43" s="15" t="s">
        <v>100</v>
      </c>
      <c r="K43" s="43">
        <v>46209</v>
      </c>
      <c r="L43" s="42">
        <v>1620021232</v>
      </c>
      <c r="M43" s="13">
        <f t="shared" si="13"/>
        <v>1</v>
      </c>
      <c r="N43" s="43">
        <v>46162</v>
      </c>
      <c r="O43" s="30" t="s">
        <v>101</v>
      </c>
      <c r="P43" s="16" t="s">
        <v>102</v>
      </c>
      <c r="Q43" s="39" t="s">
        <v>547</v>
      </c>
      <c r="R43" s="42" t="s">
        <v>548</v>
      </c>
      <c r="S43" s="13" t="s">
        <v>549</v>
      </c>
      <c r="T43" s="24">
        <v>50</v>
      </c>
      <c r="U43" s="24">
        <v>3000</v>
      </c>
      <c r="V43" s="24">
        <f t="shared" si="3"/>
        <v>150000</v>
      </c>
      <c r="W43" s="24">
        <v>0</v>
      </c>
      <c r="X43" s="18">
        <f t="shared" si="22"/>
        <v>150000</v>
      </c>
      <c r="Y43" s="19">
        <v>8110045828</v>
      </c>
      <c r="Z43" s="14">
        <v>46166</v>
      </c>
      <c r="AA43" s="13" t="s">
        <v>550</v>
      </c>
      <c r="AB43" s="13">
        <v>24.51</v>
      </c>
      <c r="AC43" s="13" t="s">
        <v>110</v>
      </c>
      <c r="AD43" s="13" t="s">
        <v>110</v>
      </c>
      <c r="AE43" s="13" t="s">
        <v>110</v>
      </c>
      <c r="AF43" s="13" t="s">
        <v>110</v>
      </c>
      <c r="AG43" s="13" t="s">
        <v>110</v>
      </c>
      <c r="AH43" s="13" t="s">
        <v>110</v>
      </c>
      <c r="AI43" s="13" t="s">
        <v>110</v>
      </c>
      <c r="AJ43" s="13" t="s">
        <v>110</v>
      </c>
      <c r="AK43" s="13">
        <v>24510</v>
      </c>
      <c r="AL43" s="16" t="s">
        <v>551</v>
      </c>
      <c r="AM43" s="13" t="s">
        <v>112</v>
      </c>
      <c r="AN43" s="16">
        <v>14405</v>
      </c>
      <c r="AO43" s="16" t="s">
        <v>552</v>
      </c>
      <c r="AP43" s="13" t="s">
        <v>115</v>
      </c>
      <c r="AQ43" s="13" t="s">
        <v>116</v>
      </c>
      <c r="AR43" s="13" t="s">
        <v>116</v>
      </c>
      <c r="AS43" s="13">
        <v>72044900</v>
      </c>
      <c r="AT43" s="13" t="s">
        <v>117</v>
      </c>
      <c r="AU43" s="13" t="s">
        <v>553</v>
      </c>
      <c r="AV43" s="13" t="s">
        <v>119</v>
      </c>
      <c r="AW43" s="24">
        <v>800</v>
      </c>
      <c r="AX43" s="13" t="s">
        <v>554</v>
      </c>
      <c r="AY43" s="13">
        <v>9000101148</v>
      </c>
      <c r="AZ43" s="14">
        <v>46194</v>
      </c>
      <c r="BA43" s="13">
        <v>24.51</v>
      </c>
      <c r="BB43" s="24">
        <v>3000</v>
      </c>
      <c r="BC43" s="24">
        <v>0</v>
      </c>
      <c r="BD43" s="24">
        <v>96.614999999999995</v>
      </c>
      <c r="BE43" s="24">
        <f t="shared" si="15"/>
        <v>73530</v>
      </c>
      <c r="BF43" s="18">
        <v>0</v>
      </c>
      <c r="BG43" s="13" t="s">
        <v>110</v>
      </c>
      <c r="BH43" s="20">
        <f t="shared" si="21"/>
        <v>73530</v>
      </c>
      <c r="BI43" s="24">
        <f t="shared" si="5"/>
        <v>7205940</v>
      </c>
      <c r="BJ43" s="18">
        <f t="shared" si="17"/>
        <v>73530</v>
      </c>
      <c r="BK43" s="24">
        <f t="shared" si="6"/>
        <v>8517601.2284999993</v>
      </c>
      <c r="BL43" s="24">
        <f t="shared" si="25"/>
        <v>7104100.9499999993</v>
      </c>
      <c r="BM43" s="14">
        <v>46226</v>
      </c>
      <c r="BN43" s="24">
        <v>0</v>
      </c>
      <c r="BO43" s="24">
        <v>0</v>
      </c>
      <c r="BP43" s="24">
        <f t="shared" si="19"/>
        <v>0</v>
      </c>
      <c r="BQ43" s="24">
        <f>11604.1+3386.74</f>
        <v>14990.84</v>
      </c>
      <c r="BR43" s="13" t="s">
        <v>122</v>
      </c>
      <c r="BS43" s="13" t="s">
        <v>123</v>
      </c>
      <c r="BT43" s="13" t="s">
        <v>124</v>
      </c>
      <c r="BU43" s="13" t="s">
        <v>299</v>
      </c>
      <c r="BV43" s="13" t="s">
        <v>126</v>
      </c>
      <c r="BW43" s="16" t="s">
        <v>127</v>
      </c>
      <c r="BX43" s="13" t="s">
        <v>555</v>
      </c>
      <c r="BY43" s="13" t="s">
        <v>124</v>
      </c>
      <c r="BZ43" s="24">
        <v>31398.95</v>
      </c>
      <c r="CA43" s="18" t="s">
        <v>130</v>
      </c>
      <c r="CB43" s="22" t="s">
        <v>110</v>
      </c>
      <c r="CC43" s="33" t="s">
        <v>110</v>
      </c>
      <c r="CD43" s="18" t="s">
        <v>110</v>
      </c>
      <c r="CE43" s="24" t="s">
        <v>124</v>
      </c>
      <c r="CF43" s="13" t="s">
        <v>124</v>
      </c>
      <c r="CG43" s="13">
        <v>2648505</v>
      </c>
      <c r="CH43" s="13" t="s">
        <v>100</v>
      </c>
      <c r="CI43" s="24">
        <v>97.2</v>
      </c>
      <c r="CJ43" s="24">
        <f t="shared" si="8"/>
        <v>1311661.2284999997</v>
      </c>
      <c r="CK43" s="24">
        <v>73530</v>
      </c>
      <c r="CL43" s="24">
        <f t="shared" si="14"/>
        <v>7147116</v>
      </c>
      <c r="CM43" s="24">
        <v>0</v>
      </c>
      <c r="CN43" s="18">
        <f t="shared" si="9"/>
        <v>7147116</v>
      </c>
      <c r="CO43" s="18">
        <f t="shared" si="23"/>
        <v>1286481</v>
      </c>
      <c r="CP43" s="24">
        <v>2115</v>
      </c>
      <c r="CQ43" s="18">
        <f t="shared" si="11"/>
        <v>1288596</v>
      </c>
      <c r="CR43" s="24">
        <f>13000+3250+700+8500+14000+750+800+8440</f>
        <v>49440</v>
      </c>
      <c r="CS43" s="14">
        <v>46231</v>
      </c>
      <c r="CT43" s="13" t="s">
        <v>110</v>
      </c>
      <c r="CU43" s="13" t="s">
        <v>556</v>
      </c>
    </row>
    <row r="44" spans="1:100" s="13" customFormat="1" ht="43.2">
      <c r="A44" s="12" t="s">
        <v>288</v>
      </c>
      <c r="B44" s="13" t="str">
        <f t="shared" si="12"/>
        <v>090252</v>
      </c>
      <c r="C44" s="13" t="s">
        <v>96</v>
      </c>
      <c r="D44" s="13" t="s">
        <v>97</v>
      </c>
      <c r="E44" s="13" t="s">
        <v>557</v>
      </c>
      <c r="F44" s="43">
        <v>46208</v>
      </c>
      <c r="G44" s="43">
        <f t="shared" si="24"/>
        <v>46221</v>
      </c>
      <c r="H44" s="15" t="s">
        <v>99</v>
      </c>
      <c r="I44" s="15" t="s">
        <v>100</v>
      </c>
      <c r="J44" s="15" t="s">
        <v>100</v>
      </c>
      <c r="K44" s="43">
        <v>46194</v>
      </c>
      <c r="L44" s="42">
        <v>1620021232</v>
      </c>
      <c r="M44" s="13">
        <f t="shared" si="13"/>
        <v>1</v>
      </c>
      <c r="N44" s="43">
        <v>46162</v>
      </c>
      <c r="O44" s="30" t="s">
        <v>101</v>
      </c>
      <c r="P44" s="16" t="s">
        <v>102</v>
      </c>
      <c r="Q44" s="39" t="s">
        <v>547</v>
      </c>
      <c r="R44" s="42" t="s">
        <v>548</v>
      </c>
      <c r="S44" s="13" t="s">
        <v>549</v>
      </c>
      <c r="T44" s="24">
        <v>50</v>
      </c>
      <c r="U44" s="24">
        <v>3000</v>
      </c>
      <c r="V44" s="24">
        <f t="shared" si="3"/>
        <v>150000</v>
      </c>
      <c r="W44" s="24">
        <v>0</v>
      </c>
      <c r="X44" s="18">
        <f t="shared" si="22"/>
        <v>150000</v>
      </c>
      <c r="Y44" s="28">
        <v>8110045827</v>
      </c>
      <c r="Z44" s="14">
        <v>46165</v>
      </c>
      <c r="AA44" s="13" t="s">
        <v>558</v>
      </c>
      <c r="AB44" s="13">
        <v>24.82</v>
      </c>
      <c r="AC44" s="13" t="s">
        <v>110</v>
      </c>
      <c r="AD44" s="13" t="s">
        <v>110</v>
      </c>
      <c r="AE44" s="13" t="s">
        <v>110</v>
      </c>
      <c r="AF44" s="13" t="s">
        <v>110</v>
      </c>
      <c r="AG44" s="13" t="s">
        <v>110</v>
      </c>
      <c r="AH44" s="13" t="s">
        <v>110</v>
      </c>
      <c r="AI44" s="13" t="s">
        <v>110</v>
      </c>
      <c r="AJ44" s="13" t="s">
        <v>110</v>
      </c>
      <c r="AK44" s="13">
        <v>24820</v>
      </c>
      <c r="AL44" s="16" t="s">
        <v>551</v>
      </c>
      <c r="AM44" s="13" t="s">
        <v>112</v>
      </c>
      <c r="AN44" s="16">
        <v>14264</v>
      </c>
      <c r="AO44" s="16" t="s">
        <v>350</v>
      </c>
      <c r="AP44" s="13" t="s">
        <v>115</v>
      </c>
      <c r="AQ44" s="13" t="s">
        <v>116</v>
      </c>
      <c r="AR44" s="13" t="s">
        <v>116</v>
      </c>
      <c r="AS44" s="13">
        <v>72044900</v>
      </c>
      <c r="AT44" s="13" t="s">
        <v>117</v>
      </c>
      <c r="AU44" s="13" t="s">
        <v>559</v>
      </c>
      <c r="AV44" s="13" t="s">
        <v>119</v>
      </c>
      <c r="AW44" s="24">
        <v>800</v>
      </c>
      <c r="AX44" s="13" t="s">
        <v>560</v>
      </c>
      <c r="AY44" s="13">
        <v>9000101167</v>
      </c>
      <c r="AZ44" s="14">
        <v>46194</v>
      </c>
      <c r="BA44" s="13">
        <v>24.82</v>
      </c>
      <c r="BB44" s="24">
        <v>3000</v>
      </c>
      <c r="BC44" s="24">
        <v>0</v>
      </c>
      <c r="BD44" s="24">
        <v>94.49</v>
      </c>
      <c r="BE44" s="24">
        <f t="shared" si="15"/>
        <v>74460</v>
      </c>
      <c r="BF44" s="18">
        <v>0</v>
      </c>
      <c r="BG44" s="13" t="s">
        <v>110</v>
      </c>
      <c r="BH44" s="20">
        <f t="shared" si="21"/>
        <v>74460</v>
      </c>
      <c r="BI44" s="24">
        <f t="shared" si="5"/>
        <v>7297080</v>
      </c>
      <c r="BJ44" s="18">
        <f t="shared" si="17"/>
        <v>74460</v>
      </c>
      <c r="BK44" s="24">
        <f t="shared" si="6"/>
        <v>8625330.9869999997</v>
      </c>
      <c r="BL44" s="24">
        <f t="shared" si="25"/>
        <v>7035725.3999999994</v>
      </c>
      <c r="BM44" s="14">
        <v>46204</v>
      </c>
      <c r="BN44" s="24">
        <v>0</v>
      </c>
      <c r="BO44" s="24">
        <v>0</v>
      </c>
      <c r="BP44" s="24">
        <f t="shared" si="19"/>
        <v>0</v>
      </c>
      <c r="BQ44" s="24">
        <f>11535.73+3374.44</f>
        <v>14910.17</v>
      </c>
      <c r="BR44" s="13" t="s">
        <v>122</v>
      </c>
      <c r="BS44" s="13" t="s">
        <v>169</v>
      </c>
      <c r="BT44" s="13" t="s">
        <v>124</v>
      </c>
      <c r="BU44" s="13" t="s">
        <v>299</v>
      </c>
      <c r="BV44" s="13" t="s">
        <v>126</v>
      </c>
      <c r="BW44" s="16" t="s">
        <v>127</v>
      </c>
      <c r="BX44" s="13" t="s">
        <v>561</v>
      </c>
      <c r="BY44" s="13" t="s">
        <v>124</v>
      </c>
      <c r="BZ44" s="24">
        <v>31398.95</v>
      </c>
      <c r="CA44" s="18" t="s">
        <v>130</v>
      </c>
      <c r="CB44" s="22" t="s">
        <v>110</v>
      </c>
      <c r="CC44" s="33" t="s">
        <v>110</v>
      </c>
      <c r="CD44" s="18" t="s">
        <v>110</v>
      </c>
      <c r="CE44" s="24" t="s">
        <v>124</v>
      </c>
      <c r="CF44" s="13" t="s">
        <v>124</v>
      </c>
      <c r="CG44" s="13">
        <v>2265924</v>
      </c>
      <c r="CH44" s="13" t="s">
        <v>100</v>
      </c>
      <c r="CI44" s="24">
        <v>95.3</v>
      </c>
      <c r="CJ44" s="24">
        <f t="shared" si="8"/>
        <v>1328250.987</v>
      </c>
      <c r="CK44" s="24">
        <v>74460</v>
      </c>
      <c r="CL44" s="24">
        <f t="shared" si="14"/>
        <v>7096038</v>
      </c>
      <c r="CM44" s="24">
        <v>0</v>
      </c>
      <c r="CN44" s="18">
        <f t="shared" si="9"/>
        <v>7096038</v>
      </c>
      <c r="CO44" s="18">
        <f t="shared" si="23"/>
        <v>1277287</v>
      </c>
      <c r="CP44" s="24">
        <v>1575</v>
      </c>
      <c r="CQ44" s="18">
        <f t="shared" si="11"/>
        <v>1278862</v>
      </c>
      <c r="CR44" s="24">
        <f>15932+700+24050+8380</f>
        <v>49062</v>
      </c>
      <c r="CS44" s="14">
        <v>46212</v>
      </c>
      <c r="CT44" s="13" t="s">
        <v>110</v>
      </c>
      <c r="CU44" s="13" t="s">
        <v>562</v>
      </c>
    </row>
    <row r="45" spans="1:100" s="13" customFormat="1" ht="43.2">
      <c r="A45" s="12" t="s">
        <v>288</v>
      </c>
      <c r="B45" s="13" t="str">
        <f t="shared" si="12"/>
        <v>090483</v>
      </c>
      <c r="C45" s="13" t="s">
        <v>96</v>
      </c>
      <c r="D45" s="13" t="s">
        <v>97</v>
      </c>
      <c r="E45" s="13" t="s">
        <v>563</v>
      </c>
      <c r="F45" s="43">
        <v>46212</v>
      </c>
      <c r="G45" s="43">
        <f t="shared" si="24"/>
        <v>46225</v>
      </c>
      <c r="H45" s="15" t="s">
        <v>99</v>
      </c>
      <c r="I45" s="15" t="s">
        <v>100</v>
      </c>
      <c r="J45" s="15" t="s">
        <v>100</v>
      </c>
      <c r="K45" s="43">
        <v>46194</v>
      </c>
      <c r="L45" s="42">
        <v>1620021240</v>
      </c>
      <c r="M45" s="13">
        <f t="shared" si="13"/>
        <v>1</v>
      </c>
      <c r="N45" s="43">
        <v>46166</v>
      </c>
      <c r="O45" s="30" t="s">
        <v>101</v>
      </c>
      <c r="P45" s="16" t="s">
        <v>102</v>
      </c>
      <c r="Q45" s="39" t="s">
        <v>564</v>
      </c>
      <c r="R45" s="13" t="s">
        <v>291</v>
      </c>
      <c r="S45" s="37" t="s">
        <v>292</v>
      </c>
      <c r="T45" s="24">
        <v>22</v>
      </c>
      <c r="U45" s="24">
        <v>990</v>
      </c>
      <c r="V45" s="24">
        <f t="shared" si="3"/>
        <v>21780</v>
      </c>
      <c r="W45" s="24">
        <v>0</v>
      </c>
      <c r="X45" s="18">
        <f t="shared" si="22"/>
        <v>21780</v>
      </c>
      <c r="Y45" s="28">
        <v>8110045865</v>
      </c>
      <c r="Z45" s="14">
        <v>46174</v>
      </c>
      <c r="AA45" s="13" t="s">
        <v>565</v>
      </c>
      <c r="AB45" s="13">
        <v>25.052</v>
      </c>
      <c r="AC45" s="13" t="s">
        <v>110</v>
      </c>
      <c r="AD45" s="13" t="s">
        <v>110</v>
      </c>
      <c r="AE45" s="13" t="s">
        <v>110</v>
      </c>
      <c r="AF45" s="13" t="s">
        <v>110</v>
      </c>
      <c r="AG45" s="13" t="s">
        <v>110</v>
      </c>
      <c r="AH45" s="13" t="s">
        <v>110</v>
      </c>
      <c r="AI45" s="13" t="s">
        <v>110</v>
      </c>
      <c r="AJ45" s="13" t="s">
        <v>110</v>
      </c>
      <c r="AK45" s="13">
        <v>25052</v>
      </c>
      <c r="AL45" s="13" t="s">
        <v>359</v>
      </c>
      <c r="AM45" s="13" t="s">
        <v>246</v>
      </c>
      <c r="AN45" s="47" t="s">
        <v>566</v>
      </c>
      <c r="AO45" s="16" t="s">
        <v>350</v>
      </c>
      <c r="AP45" s="13" t="s">
        <v>115</v>
      </c>
      <c r="AQ45" s="13" t="s">
        <v>116</v>
      </c>
      <c r="AR45" s="13" t="s">
        <v>362</v>
      </c>
      <c r="AS45" s="13">
        <v>72042190</v>
      </c>
      <c r="AT45" s="13" t="s">
        <v>117</v>
      </c>
      <c r="AU45" s="13" t="s">
        <v>567</v>
      </c>
      <c r="AV45" s="13" t="s">
        <v>119</v>
      </c>
      <c r="AW45" s="24">
        <v>800</v>
      </c>
      <c r="AX45" s="13" t="s">
        <v>568</v>
      </c>
      <c r="AY45" s="13">
        <v>9000101151</v>
      </c>
      <c r="AZ45" s="14">
        <v>46194</v>
      </c>
      <c r="BA45" s="13">
        <v>25.052</v>
      </c>
      <c r="BB45" s="24">
        <v>990</v>
      </c>
      <c r="BC45" s="24">
        <v>0</v>
      </c>
      <c r="BD45" s="24">
        <v>96.26</v>
      </c>
      <c r="BE45" s="24">
        <f t="shared" si="15"/>
        <v>24801.48</v>
      </c>
      <c r="BF45" s="18">
        <v>0</v>
      </c>
      <c r="BG45" s="13" t="s">
        <v>110</v>
      </c>
      <c r="BH45" s="20">
        <f t="shared" si="21"/>
        <v>24801.48</v>
      </c>
      <c r="BI45" s="24">
        <f t="shared" si="5"/>
        <v>2430545.04</v>
      </c>
      <c r="BJ45" s="18">
        <f t="shared" si="17"/>
        <v>24801.48</v>
      </c>
      <c r="BK45" s="24">
        <f t="shared" si="6"/>
        <v>2872965.0009059999</v>
      </c>
      <c r="BL45" s="24">
        <f t="shared" si="25"/>
        <v>2387390.4648000002</v>
      </c>
      <c r="BM45" s="14">
        <v>46232</v>
      </c>
      <c r="BN45" s="24">
        <v>0</v>
      </c>
      <c r="BO45" s="24">
        <v>0</v>
      </c>
      <c r="BP45" s="24">
        <f t="shared" si="19"/>
        <v>0</v>
      </c>
      <c r="BQ45" s="24">
        <f>6887.39+2537.74</f>
        <v>9425.130000000001</v>
      </c>
      <c r="BR45" s="13" t="s">
        <v>122</v>
      </c>
      <c r="BS45" s="13" t="s">
        <v>169</v>
      </c>
      <c r="BT45" s="13" t="s">
        <v>124</v>
      </c>
      <c r="BU45" s="13" t="s">
        <v>299</v>
      </c>
      <c r="BV45" s="13" t="s">
        <v>569</v>
      </c>
      <c r="BW45" s="16" t="s">
        <v>569</v>
      </c>
      <c r="BX45" s="13" t="s">
        <v>124</v>
      </c>
      <c r="BY45" s="13" t="s">
        <v>124</v>
      </c>
      <c r="BZ45" s="24">
        <v>119715</v>
      </c>
      <c r="CA45" s="18" t="s">
        <v>130</v>
      </c>
      <c r="CB45" s="22" t="s">
        <v>110</v>
      </c>
      <c r="CC45" s="33" t="s">
        <v>110</v>
      </c>
      <c r="CD45" s="18" t="s">
        <v>110</v>
      </c>
      <c r="CE45" s="24" t="s">
        <v>124</v>
      </c>
      <c r="CF45" s="13" t="s">
        <v>124</v>
      </c>
      <c r="CG45" s="13">
        <v>2428592</v>
      </c>
      <c r="CH45" s="13" t="s">
        <v>100</v>
      </c>
      <c r="CI45" s="24">
        <v>95.2</v>
      </c>
      <c r="CJ45" s="24">
        <f t="shared" si="8"/>
        <v>442419.96090600005</v>
      </c>
      <c r="CK45" s="24">
        <v>24801.48</v>
      </c>
      <c r="CL45" s="24">
        <f t="shared" si="14"/>
        <v>2361101</v>
      </c>
      <c r="CM45" s="24">
        <v>0</v>
      </c>
      <c r="CN45" s="18">
        <f t="shared" si="9"/>
        <v>2361101</v>
      </c>
      <c r="CO45" s="18">
        <f t="shared" si="23"/>
        <v>424998</v>
      </c>
      <c r="CP45" s="24">
        <v>3668</v>
      </c>
      <c r="CQ45" s="18">
        <f t="shared" si="11"/>
        <v>428666</v>
      </c>
      <c r="CR45" s="24">
        <f>16301+16300</f>
        <v>32601</v>
      </c>
      <c r="CS45" s="14">
        <v>46234</v>
      </c>
      <c r="CT45" s="13" t="s">
        <v>110</v>
      </c>
      <c r="CU45" s="13" t="s">
        <v>570</v>
      </c>
    </row>
    <row r="46" spans="1:100" s="13" customFormat="1" ht="43.2">
      <c r="A46" s="12" t="s">
        <v>288</v>
      </c>
      <c r="B46" s="13" t="str">
        <f t="shared" si="12"/>
        <v>090785</v>
      </c>
      <c r="C46" s="13" t="s">
        <v>571</v>
      </c>
      <c r="D46" s="13" t="s">
        <v>97</v>
      </c>
      <c r="E46" s="13" t="s">
        <v>572</v>
      </c>
      <c r="F46" s="43">
        <v>46292</v>
      </c>
      <c r="G46" s="43">
        <f t="shared" si="24"/>
        <v>46305</v>
      </c>
      <c r="H46" s="15" t="s">
        <v>99</v>
      </c>
      <c r="I46" s="15" t="s">
        <v>172</v>
      </c>
      <c r="J46" s="15" t="s">
        <v>100</v>
      </c>
      <c r="L46" s="42">
        <v>1620021280</v>
      </c>
      <c r="M46" s="13">
        <f t="shared" si="13"/>
        <v>2</v>
      </c>
      <c r="N46" s="43">
        <v>46177</v>
      </c>
      <c r="O46" s="30" t="s">
        <v>101</v>
      </c>
      <c r="P46" s="16" t="s">
        <v>102</v>
      </c>
      <c r="Q46" s="17" t="s">
        <v>573</v>
      </c>
      <c r="R46" s="42" t="s">
        <v>574</v>
      </c>
      <c r="S46" s="13" t="s">
        <v>274</v>
      </c>
      <c r="T46" s="24">
        <v>300</v>
      </c>
      <c r="U46" s="24">
        <v>1430</v>
      </c>
      <c r="V46" s="24">
        <f t="shared" si="3"/>
        <v>429000</v>
      </c>
      <c r="W46" s="24">
        <v>0</v>
      </c>
      <c r="X46" s="18">
        <f t="shared" si="22"/>
        <v>429000</v>
      </c>
      <c r="Y46" s="19" t="s">
        <v>575</v>
      </c>
      <c r="Z46" s="14">
        <v>46179</v>
      </c>
      <c r="AA46" s="13" t="s">
        <v>576</v>
      </c>
      <c r="AB46" s="13">
        <v>25.41</v>
      </c>
      <c r="AC46" s="13" t="s">
        <v>577</v>
      </c>
      <c r="AD46" s="13">
        <v>25.01</v>
      </c>
      <c r="AE46" s="13" t="s">
        <v>110</v>
      </c>
      <c r="AF46" s="13" t="s">
        <v>110</v>
      </c>
      <c r="AG46" s="13" t="s">
        <v>110</v>
      </c>
      <c r="AH46" s="13" t="s">
        <v>110</v>
      </c>
      <c r="AI46" s="13" t="s">
        <v>110</v>
      </c>
      <c r="AJ46" s="13" t="s">
        <v>110</v>
      </c>
      <c r="AK46" s="13">
        <v>50420</v>
      </c>
      <c r="AL46" s="16" t="s">
        <v>578</v>
      </c>
      <c r="AM46" s="13" t="s">
        <v>112</v>
      </c>
      <c r="AN46" s="47" t="s">
        <v>579</v>
      </c>
      <c r="AP46" s="13" t="s">
        <v>115</v>
      </c>
      <c r="AQ46" s="13" t="s">
        <v>116</v>
      </c>
      <c r="AR46" s="13" t="s">
        <v>116</v>
      </c>
      <c r="AS46" s="13">
        <v>72044900</v>
      </c>
      <c r="AT46" s="13" t="s">
        <v>117</v>
      </c>
      <c r="AV46" s="16" t="s">
        <v>119</v>
      </c>
      <c r="AW46" s="24">
        <v>800</v>
      </c>
      <c r="AX46" s="16" t="s">
        <v>580</v>
      </c>
      <c r="BA46" s="13">
        <v>50.42</v>
      </c>
      <c r="BB46" s="24">
        <v>1430</v>
      </c>
      <c r="BC46" s="24">
        <v>0</v>
      </c>
      <c r="BD46" s="24">
        <v>0</v>
      </c>
      <c r="BE46" s="24">
        <f t="shared" si="15"/>
        <v>72100.600000000006</v>
      </c>
      <c r="BF46" s="18">
        <v>0</v>
      </c>
      <c r="BG46" s="13" t="s">
        <v>110</v>
      </c>
      <c r="BH46" s="20">
        <f t="shared" si="21"/>
        <v>72100.600000000006</v>
      </c>
      <c r="BI46" s="24">
        <f t="shared" si="5"/>
        <v>7065858.8000000007</v>
      </c>
      <c r="BJ46" s="18">
        <f t="shared" si="17"/>
        <v>72100.600000000006</v>
      </c>
      <c r="BK46" s="24">
        <f t="shared" si="6"/>
        <v>8352021.7480700007</v>
      </c>
      <c r="BL46" s="24">
        <f t="shared" si="25"/>
        <v>0</v>
      </c>
      <c r="BN46" s="24">
        <v>0</v>
      </c>
      <c r="BO46" s="24">
        <v>0</v>
      </c>
      <c r="BP46" s="24">
        <f t="shared" si="19"/>
        <v>0</v>
      </c>
      <c r="BQ46" s="24"/>
      <c r="BR46" s="13" t="s">
        <v>581</v>
      </c>
      <c r="BS46" s="13" t="s">
        <v>169</v>
      </c>
      <c r="BT46" s="13" t="s">
        <v>124</v>
      </c>
      <c r="BU46" s="13" t="s">
        <v>299</v>
      </c>
      <c r="BV46" s="13" t="s">
        <v>354</v>
      </c>
      <c r="BW46" s="16" t="s">
        <v>355</v>
      </c>
      <c r="BY46" s="13" t="s">
        <v>124</v>
      </c>
      <c r="BZ46" s="24"/>
      <c r="CA46" s="24"/>
      <c r="CB46" s="22" t="s">
        <v>110</v>
      </c>
      <c r="CC46" s="33" t="s">
        <v>110</v>
      </c>
      <c r="CD46" s="18" t="s">
        <v>110</v>
      </c>
      <c r="CE46" s="24" t="s">
        <v>124</v>
      </c>
      <c r="CF46" s="13" t="s">
        <v>124</v>
      </c>
      <c r="CH46" s="13" t="s">
        <v>172</v>
      </c>
      <c r="CI46" s="24"/>
      <c r="CJ46" s="24">
        <f t="shared" si="8"/>
        <v>1286162.9480699999</v>
      </c>
      <c r="CK46" s="24"/>
      <c r="CL46" s="24">
        <f t="shared" si="14"/>
        <v>0</v>
      </c>
      <c r="CM46" s="24">
        <v>0</v>
      </c>
      <c r="CN46" s="18">
        <f t="shared" si="9"/>
        <v>0</v>
      </c>
      <c r="CO46" s="18">
        <f t="shared" si="23"/>
        <v>0</v>
      </c>
      <c r="CP46" s="24">
        <v>0</v>
      </c>
      <c r="CQ46" s="18">
        <f t="shared" si="11"/>
        <v>0</v>
      </c>
      <c r="CR46" s="24"/>
      <c r="CT46" s="13" t="s">
        <v>110</v>
      </c>
    </row>
    <row r="47" spans="1:100" s="13" customFormat="1" ht="43.2">
      <c r="A47" s="12" t="s">
        <v>288</v>
      </c>
      <c r="B47" s="13" t="str">
        <f t="shared" si="12"/>
        <v>090787</v>
      </c>
      <c r="C47" s="13" t="s">
        <v>96</v>
      </c>
      <c r="D47" s="13" t="s">
        <v>97</v>
      </c>
      <c r="E47" s="13" t="s">
        <v>582</v>
      </c>
      <c r="F47" s="43">
        <v>46254</v>
      </c>
      <c r="G47" s="43">
        <f t="shared" si="24"/>
        <v>46267</v>
      </c>
      <c r="H47" s="15" t="s">
        <v>99</v>
      </c>
      <c r="I47" s="15" t="s">
        <v>100</v>
      </c>
      <c r="J47" s="15" t="s">
        <v>100</v>
      </c>
      <c r="K47" s="14">
        <v>46247</v>
      </c>
      <c r="L47" s="42">
        <v>1620021280</v>
      </c>
      <c r="M47" s="13">
        <f t="shared" si="13"/>
        <v>2</v>
      </c>
      <c r="N47" s="43">
        <v>46177</v>
      </c>
      <c r="O47" s="30" t="s">
        <v>101</v>
      </c>
      <c r="P47" s="16" t="s">
        <v>102</v>
      </c>
      <c r="Q47" s="17" t="s">
        <v>573</v>
      </c>
      <c r="R47" s="42" t="s">
        <v>574</v>
      </c>
      <c r="S47" s="13" t="s">
        <v>274</v>
      </c>
      <c r="T47" s="24">
        <v>300</v>
      </c>
      <c r="U47" s="24">
        <v>1430</v>
      </c>
      <c r="V47" s="24">
        <f t="shared" si="3"/>
        <v>429000</v>
      </c>
      <c r="W47" s="24">
        <v>0</v>
      </c>
      <c r="X47" s="18">
        <f t="shared" si="22"/>
        <v>429000</v>
      </c>
      <c r="Y47" s="19" t="s">
        <v>583</v>
      </c>
      <c r="Z47" s="14">
        <v>46179</v>
      </c>
      <c r="AA47" s="13" t="s">
        <v>584</v>
      </c>
      <c r="AB47" s="13">
        <v>24.95</v>
      </c>
      <c r="AC47" s="13" t="s">
        <v>585</v>
      </c>
      <c r="AD47" s="13">
        <v>25.17</v>
      </c>
      <c r="AE47" s="13" t="s">
        <v>110</v>
      </c>
      <c r="AF47" s="13" t="s">
        <v>110</v>
      </c>
      <c r="AG47" s="13" t="s">
        <v>110</v>
      </c>
      <c r="AH47" s="13" t="s">
        <v>110</v>
      </c>
      <c r="AI47" s="13" t="s">
        <v>110</v>
      </c>
      <c r="AJ47" s="13" t="s">
        <v>110</v>
      </c>
      <c r="AK47" s="13">
        <v>50120</v>
      </c>
      <c r="AL47" s="13" t="s">
        <v>586</v>
      </c>
      <c r="AM47" s="13" t="s">
        <v>112</v>
      </c>
      <c r="AN47" s="16" t="s">
        <v>587</v>
      </c>
      <c r="AO47" s="13" t="s">
        <v>588</v>
      </c>
      <c r="AP47" s="13" t="s">
        <v>115</v>
      </c>
      <c r="AQ47" s="13" t="s">
        <v>116</v>
      </c>
      <c r="AR47" s="13" t="s">
        <v>116</v>
      </c>
      <c r="AS47" s="13">
        <v>72044900</v>
      </c>
      <c r="AT47" s="13" t="s">
        <v>117</v>
      </c>
      <c r="AU47" s="13" t="s">
        <v>589</v>
      </c>
      <c r="AV47" s="13" t="s">
        <v>119</v>
      </c>
      <c r="AW47" s="24">
        <v>800</v>
      </c>
      <c r="AX47" s="13" t="s">
        <v>590</v>
      </c>
      <c r="AY47" s="16" t="s">
        <v>591</v>
      </c>
      <c r="AZ47" s="14">
        <v>46247</v>
      </c>
      <c r="BA47" s="13">
        <v>50.12</v>
      </c>
      <c r="BB47" s="24">
        <v>1430</v>
      </c>
      <c r="BC47" s="24">
        <v>0</v>
      </c>
      <c r="BD47" s="24">
        <v>95.89</v>
      </c>
      <c r="BE47" s="24">
        <f t="shared" si="15"/>
        <v>71671.599999999991</v>
      </c>
      <c r="BF47" s="18">
        <v>0</v>
      </c>
      <c r="BG47" s="13" t="s">
        <v>110</v>
      </c>
      <c r="BH47" s="20">
        <f t="shared" si="21"/>
        <v>71671.600000000006</v>
      </c>
      <c r="BI47" s="24">
        <f t="shared" si="5"/>
        <v>7023816.8000000007</v>
      </c>
      <c r="BJ47" s="18">
        <f t="shared" si="17"/>
        <v>71671.600000000006</v>
      </c>
      <c r="BK47" s="24">
        <f t="shared" si="6"/>
        <v>8302327.0530200005</v>
      </c>
      <c r="BL47" s="24">
        <f t="shared" si="25"/>
        <v>6872589.7240000004</v>
      </c>
      <c r="BM47" s="14">
        <v>46255</v>
      </c>
      <c r="BN47" s="24">
        <v>0</v>
      </c>
      <c r="BO47" s="24">
        <v>0</v>
      </c>
      <c r="BP47" s="24">
        <f t="shared" si="19"/>
        <v>0</v>
      </c>
      <c r="BQ47" s="24">
        <f>11372.59+3345.06</f>
        <v>14717.65</v>
      </c>
      <c r="BR47" s="13" t="s">
        <v>122</v>
      </c>
      <c r="BS47" s="13" t="s">
        <v>169</v>
      </c>
      <c r="BT47" s="13" t="s">
        <v>124</v>
      </c>
      <c r="BU47" s="13" t="s">
        <v>299</v>
      </c>
      <c r="BV47" s="13" t="s">
        <v>258</v>
      </c>
      <c r="BW47" s="16" t="s">
        <v>127</v>
      </c>
      <c r="BX47" s="13" t="s">
        <v>592</v>
      </c>
      <c r="BY47" s="13" t="s">
        <v>124</v>
      </c>
      <c r="BZ47" s="24">
        <v>59897.9</v>
      </c>
      <c r="CA47" s="18" t="s">
        <v>130</v>
      </c>
      <c r="CB47" s="22" t="s">
        <v>110</v>
      </c>
      <c r="CC47" s="33" t="s">
        <v>110</v>
      </c>
      <c r="CD47" s="18" t="s">
        <v>110</v>
      </c>
      <c r="CE47" s="24" t="s">
        <v>124</v>
      </c>
      <c r="CF47" s="13" t="s">
        <v>124</v>
      </c>
      <c r="CG47" s="13">
        <v>3314925</v>
      </c>
      <c r="CH47" s="13" t="s">
        <v>172</v>
      </c>
      <c r="CI47" s="24">
        <v>96.5</v>
      </c>
      <c r="CJ47" s="24">
        <f t="shared" si="8"/>
        <v>1278510.2530200002</v>
      </c>
      <c r="CK47" s="24">
        <v>71671.600000000006</v>
      </c>
      <c r="CL47" s="24">
        <f t="shared" si="14"/>
        <v>6916309</v>
      </c>
      <c r="CM47" s="24">
        <v>0</v>
      </c>
      <c r="CN47" s="18">
        <f t="shared" si="9"/>
        <v>6916309</v>
      </c>
      <c r="CO47" s="18">
        <f t="shared" si="23"/>
        <v>1244936</v>
      </c>
      <c r="CP47" s="24">
        <v>0</v>
      </c>
      <c r="CQ47" s="18">
        <f t="shared" si="11"/>
        <v>1244936</v>
      </c>
      <c r="CR47" s="24"/>
      <c r="CS47" s="14">
        <v>46275</v>
      </c>
      <c r="CT47" s="13" t="s">
        <v>110</v>
      </c>
      <c r="CU47" s="13" t="s">
        <v>593</v>
      </c>
      <c r="CV47" s="16" t="s">
        <v>261</v>
      </c>
    </row>
    <row r="48" spans="1:100" s="13" customFormat="1" ht="43.2">
      <c r="A48" s="12" t="s">
        <v>288</v>
      </c>
      <c r="B48" s="13" t="str">
        <f t="shared" si="12"/>
        <v>090779</v>
      </c>
      <c r="C48" s="13" t="s">
        <v>96</v>
      </c>
      <c r="D48" s="13" t="s">
        <v>97</v>
      </c>
      <c r="E48" s="13" t="s">
        <v>594</v>
      </c>
      <c r="F48" s="43">
        <v>46220</v>
      </c>
      <c r="G48" s="43">
        <f t="shared" si="24"/>
        <v>46233</v>
      </c>
      <c r="H48" s="15" t="s">
        <v>546</v>
      </c>
      <c r="I48" s="15" t="s">
        <v>100</v>
      </c>
      <c r="J48" s="15" t="s">
        <v>100</v>
      </c>
      <c r="K48" s="43">
        <v>46214</v>
      </c>
      <c r="L48" s="42">
        <v>1620021280</v>
      </c>
      <c r="M48" s="13">
        <f t="shared" si="13"/>
        <v>2</v>
      </c>
      <c r="N48" s="43">
        <v>46177</v>
      </c>
      <c r="O48" s="30" t="s">
        <v>101</v>
      </c>
      <c r="P48" s="16" t="s">
        <v>102</v>
      </c>
      <c r="Q48" s="17" t="s">
        <v>573</v>
      </c>
      <c r="R48" s="42" t="s">
        <v>574</v>
      </c>
      <c r="S48" s="13" t="s">
        <v>274</v>
      </c>
      <c r="T48" s="24">
        <v>300</v>
      </c>
      <c r="U48" s="24">
        <v>1430</v>
      </c>
      <c r="V48" s="24">
        <f t="shared" si="3"/>
        <v>429000</v>
      </c>
      <c r="W48" s="24">
        <v>0</v>
      </c>
      <c r="X48" s="18">
        <f t="shared" si="22"/>
        <v>429000</v>
      </c>
      <c r="Y48" s="19" t="s">
        <v>595</v>
      </c>
      <c r="Z48" s="14">
        <v>46179</v>
      </c>
      <c r="AA48" s="13" t="s">
        <v>596</v>
      </c>
      <c r="AB48" s="13">
        <v>24.95</v>
      </c>
      <c r="AC48" s="13" t="s">
        <v>597</v>
      </c>
      <c r="AD48" s="13">
        <v>24.41</v>
      </c>
      <c r="AE48" s="13" t="s">
        <v>110</v>
      </c>
      <c r="AF48" s="13" t="s">
        <v>110</v>
      </c>
      <c r="AG48" s="13" t="s">
        <v>110</v>
      </c>
      <c r="AH48" s="13" t="s">
        <v>110</v>
      </c>
      <c r="AI48" s="13" t="s">
        <v>110</v>
      </c>
      <c r="AJ48" s="13" t="s">
        <v>110</v>
      </c>
      <c r="AK48" s="13">
        <v>49360</v>
      </c>
      <c r="AL48" s="13" t="s">
        <v>586</v>
      </c>
      <c r="AM48" s="13" t="s">
        <v>112</v>
      </c>
      <c r="AN48" s="47" t="s">
        <v>598</v>
      </c>
      <c r="AO48" s="16" t="s">
        <v>599</v>
      </c>
      <c r="AP48" s="13" t="s">
        <v>115</v>
      </c>
      <c r="AQ48" s="13" t="s">
        <v>116</v>
      </c>
      <c r="AR48" s="13" t="s">
        <v>116</v>
      </c>
      <c r="AS48" s="13">
        <v>72044900</v>
      </c>
      <c r="AT48" s="13" t="s">
        <v>117</v>
      </c>
      <c r="AU48" s="13" t="s">
        <v>600</v>
      </c>
      <c r="AV48" s="13" t="s">
        <v>119</v>
      </c>
      <c r="AW48" s="24">
        <v>800</v>
      </c>
      <c r="AX48" s="13" t="s">
        <v>601</v>
      </c>
      <c r="AY48" s="16" t="s">
        <v>602</v>
      </c>
      <c r="AZ48" s="14">
        <v>46214</v>
      </c>
      <c r="BA48" s="13">
        <v>49.36</v>
      </c>
      <c r="BB48" s="24">
        <v>1430</v>
      </c>
      <c r="BC48" s="24">
        <v>0</v>
      </c>
      <c r="BD48" s="24">
        <v>95.442499999999995</v>
      </c>
      <c r="BE48" s="24">
        <f t="shared" si="15"/>
        <v>70584.800000000003</v>
      </c>
      <c r="BF48" s="18">
        <v>0</v>
      </c>
      <c r="BG48" s="13" t="s">
        <v>110</v>
      </c>
      <c r="BH48" s="20">
        <f t="shared" si="21"/>
        <v>70584.800000000003</v>
      </c>
      <c r="BI48" s="24">
        <f t="shared" si="5"/>
        <v>6917310.4000000004</v>
      </c>
      <c r="BJ48" s="18">
        <f t="shared" si="17"/>
        <v>70584.800000000003</v>
      </c>
      <c r="BK48" s="24">
        <f t="shared" si="6"/>
        <v>8176433.8255599998</v>
      </c>
      <c r="BL48" s="24">
        <f t="shared" si="25"/>
        <v>6736789.7740000002</v>
      </c>
      <c r="BM48" s="14">
        <v>46238</v>
      </c>
      <c r="BN48" s="24">
        <v>0</v>
      </c>
      <c r="BO48" s="24">
        <v>0</v>
      </c>
      <c r="BP48" s="24">
        <f t="shared" si="19"/>
        <v>0</v>
      </c>
      <c r="BQ48" s="24">
        <f>11236.79+3320.62</f>
        <v>14557.41</v>
      </c>
      <c r="BR48" s="13" t="s">
        <v>122</v>
      </c>
      <c r="BS48" s="13" t="s">
        <v>123</v>
      </c>
      <c r="BT48" s="13" t="s">
        <v>124</v>
      </c>
      <c r="BU48" s="13" t="s">
        <v>299</v>
      </c>
      <c r="BV48" s="13" t="s">
        <v>354</v>
      </c>
      <c r="BW48" s="16" t="s">
        <v>355</v>
      </c>
      <c r="BX48" s="13">
        <v>215</v>
      </c>
      <c r="BY48" s="13" t="s">
        <v>124</v>
      </c>
      <c r="BZ48" s="24">
        <f>18497+3500+9600+799.59+27600+59997.49+500+31052.8</f>
        <v>151546.87999999998</v>
      </c>
      <c r="CA48" s="18" t="s">
        <v>130</v>
      </c>
      <c r="CB48" s="22" t="s">
        <v>110</v>
      </c>
      <c r="CC48" s="33" t="s">
        <v>110</v>
      </c>
      <c r="CD48" s="18" t="s">
        <v>110</v>
      </c>
      <c r="CE48" s="24" t="s">
        <v>124</v>
      </c>
      <c r="CF48" s="13" t="s">
        <v>124</v>
      </c>
      <c r="CG48" s="13">
        <v>2577093</v>
      </c>
      <c r="CH48" s="13" t="s">
        <v>100</v>
      </c>
      <c r="CI48" s="24">
        <v>97.2</v>
      </c>
      <c r="CJ48" s="24">
        <f t="shared" si="8"/>
        <v>1259123.4255599999</v>
      </c>
      <c r="CK48" s="24">
        <v>70584.800000000003</v>
      </c>
      <c r="CL48" s="24">
        <f t="shared" si="14"/>
        <v>6860843</v>
      </c>
      <c r="CM48" s="24">
        <v>0</v>
      </c>
      <c r="CN48" s="18">
        <f t="shared" si="9"/>
        <v>6860843</v>
      </c>
      <c r="CO48" s="18">
        <f t="shared" si="23"/>
        <v>1234952</v>
      </c>
      <c r="CP48" s="24">
        <v>0</v>
      </c>
      <c r="CQ48" s="18">
        <f t="shared" si="11"/>
        <v>1234952</v>
      </c>
      <c r="CR48" s="24">
        <f>34000+42500+36000+16000+177+8100+7670+600+3000+112</f>
        <v>148159</v>
      </c>
      <c r="CS48" s="14">
        <v>46245</v>
      </c>
      <c r="CT48" s="13" t="s">
        <v>110</v>
      </c>
      <c r="CU48" s="13" t="s">
        <v>603</v>
      </c>
    </row>
    <row r="49" spans="1:100" s="13" customFormat="1" ht="43.2">
      <c r="A49" s="12" t="s">
        <v>288</v>
      </c>
      <c r="B49" s="13" t="str">
        <f t="shared" si="12"/>
        <v>090776</v>
      </c>
      <c r="C49" s="13" t="s">
        <v>96</v>
      </c>
      <c r="D49" s="13" t="s">
        <v>97</v>
      </c>
      <c r="E49" s="13" t="s">
        <v>604</v>
      </c>
      <c r="F49" s="43">
        <v>46254</v>
      </c>
      <c r="G49" s="43">
        <f t="shared" si="24"/>
        <v>46267</v>
      </c>
      <c r="H49" s="15" t="s">
        <v>99</v>
      </c>
      <c r="I49" s="15" t="s">
        <v>100</v>
      </c>
      <c r="J49" s="15" t="s">
        <v>100</v>
      </c>
      <c r="K49" s="14">
        <v>46247</v>
      </c>
      <c r="L49" s="42">
        <v>1620021280</v>
      </c>
      <c r="M49" s="13">
        <f t="shared" si="13"/>
        <v>2</v>
      </c>
      <c r="N49" s="43">
        <v>46177</v>
      </c>
      <c r="O49" s="30" t="s">
        <v>101</v>
      </c>
      <c r="P49" s="16" t="s">
        <v>102</v>
      </c>
      <c r="Q49" s="17" t="s">
        <v>573</v>
      </c>
      <c r="R49" s="42" t="s">
        <v>574</v>
      </c>
      <c r="S49" s="13" t="s">
        <v>274</v>
      </c>
      <c r="T49" s="24">
        <v>300</v>
      </c>
      <c r="U49" s="24">
        <v>1430</v>
      </c>
      <c r="V49" s="24">
        <f t="shared" si="3"/>
        <v>429000</v>
      </c>
      <c r="W49" s="24">
        <v>0</v>
      </c>
      <c r="X49" s="18">
        <f t="shared" si="22"/>
        <v>429000</v>
      </c>
      <c r="Y49" s="19" t="s">
        <v>605</v>
      </c>
      <c r="Z49" s="14">
        <v>46180</v>
      </c>
      <c r="AA49" s="13" t="s">
        <v>606</v>
      </c>
      <c r="AB49" s="13">
        <v>24.82</v>
      </c>
      <c r="AC49" s="13" t="s">
        <v>607</v>
      </c>
      <c r="AD49" s="13">
        <v>25.38</v>
      </c>
      <c r="AE49" s="13" t="s">
        <v>110</v>
      </c>
      <c r="AF49" s="13" t="s">
        <v>110</v>
      </c>
      <c r="AG49" s="13" t="s">
        <v>110</v>
      </c>
      <c r="AH49" s="13" t="s">
        <v>110</v>
      </c>
      <c r="AI49" s="13" t="s">
        <v>110</v>
      </c>
      <c r="AJ49" s="13" t="s">
        <v>110</v>
      </c>
      <c r="AK49" s="13">
        <v>50200</v>
      </c>
      <c r="AL49" s="13" t="s">
        <v>586</v>
      </c>
      <c r="AM49" s="13" t="s">
        <v>112</v>
      </c>
      <c r="AN49" s="47" t="s">
        <v>608</v>
      </c>
      <c r="AO49" s="13" t="s">
        <v>588</v>
      </c>
      <c r="AP49" s="13" t="s">
        <v>115</v>
      </c>
      <c r="AQ49" s="13" t="s">
        <v>116</v>
      </c>
      <c r="AR49" s="13" t="s">
        <v>116</v>
      </c>
      <c r="AS49" s="13">
        <v>72044900</v>
      </c>
      <c r="AT49" s="13" t="s">
        <v>117</v>
      </c>
      <c r="AU49" s="13" t="s">
        <v>609</v>
      </c>
      <c r="AV49" s="13" t="s">
        <v>119</v>
      </c>
      <c r="AW49" s="24">
        <v>800</v>
      </c>
      <c r="AX49" s="13" t="s">
        <v>610</v>
      </c>
      <c r="AY49" s="16" t="s">
        <v>611</v>
      </c>
      <c r="AZ49" s="14">
        <v>46247</v>
      </c>
      <c r="BA49" s="45">
        <v>50.2</v>
      </c>
      <c r="BB49" s="24">
        <v>1430</v>
      </c>
      <c r="BC49" s="24">
        <v>0</v>
      </c>
      <c r="BD49" s="24">
        <v>95.89</v>
      </c>
      <c r="BE49" s="24">
        <f t="shared" si="15"/>
        <v>71786</v>
      </c>
      <c r="BF49" s="18">
        <v>0</v>
      </c>
      <c r="BG49" s="13" t="s">
        <v>110</v>
      </c>
      <c r="BH49" s="20">
        <f t="shared" si="21"/>
        <v>71786</v>
      </c>
      <c r="BI49" s="24">
        <f t="shared" si="5"/>
        <v>7035028</v>
      </c>
      <c r="BJ49" s="18">
        <f t="shared" si="17"/>
        <v>71786</v>
      </c>
      <c r="BK49" s="24">
        <f t="shared" si="6"/>
        <v>8315578.9716999996</v>
      </c>
      <c r="BL49" s="24">
        <f t="shared" si="25"/>
        <v>6883559.54</v>
      </c>
      <c r="BM49" s="14">
        <v>46255</v>
      </c>
      <c r="BN49" s="24">
        <v>0</v>
      </c>
      <c r="BO49" s="24">
        <v>0</v>
      </c>
      <c r="BP49" s="24">
        <f t="shared" si="19"/>
        <v>0</v>
      </c>
      <c r="BQ49" s="24">
        <f>11383.56+3347.04</f>
        <v>14730.599999999999</v>
      </c>
      <c r="BR49" s="13" t="s">
        <v>122</v>
      </c>
      <c r="BS49" s="13" t="s">
        <v>169</v>
      </c>
      <c r="BT49" s="13" t="s">
        <v>124</v>
      </c>
      <c r="BU49" s="13" t="s">
        <v>299</v>
      </c>
      <c r="BV49" s="13" t="s">
        <v>258</v>
      </c>
      <c r="BW49" s="16" t="s">
        <v>127</v>
      </c>
      <c r="BX49" s="13" t="s">
        <v>612</v>
      </c>
      <c r="BY49" s="13" t="s">
        <v>124</v>
      </c>
      <c r="BZ49" s="24">
        <v>59897.9</v>
      </c>
      <c r="CA49" s="18" t="s">
        <v>130</v>
      </c>
      <c r="CB49" s="22" t="s">
        <v>110</v>
      </c>
      <c r="CC49" s="33" t="s">
        <v>110</v>
      </c>
      <c r="CD49" s="18" t="s">
        <v>110</v>
      </c>
      <c r="CE49" s="24" t="s">
        <v>124</v>
      </c>
      <c r="CF49" s="13" t="s">
        <v>124</v>
      </c>
      <c r="CG49" s="13">
        <v>3314927</v>
      </c>
      <c r="CH49" s="13" t="s">
        <v>172</v>
      </c>
      <c r="CI49" s="24">
        <v>96.5</v>
      </c>
      <c r="CJ49" s="24">
        <f t="shared" si="8"/>
        <v>1280550.9716999999</v>
      </c>
      <c r="CK49" s="24">
        <v>71786</v>
      </c>
      <c r="CL49" s="24">
        <f t="shared" si="14"/>
        <v>6927349</v>
      </c>
      <c r="CM49" s="24">
        <v>0</v>
      </c>
      <c r="CN49" s="18">
        <f t="shared" si="9"/>
        <v>6927349</v>
      </c>
      <c r="CO49" s="18">
        <f t="shared" si="23"/>
        <v>1246923</v>
      </c>
      <c r="CP49" s="24">
        <v>0</v>
      </c>
      <c r="CQ49" s="18">
        <f t="shared" si="11"/>
        <v>1246923</v>
      </c>
      <c r="CR49" s="24"/>
      <c r="CS49" s="14">
        <v>46276</v>
      </c>
      <c r="CT49" s="13" t="s">
        <v>110</v>
      </c>
      <c r="CU49" s="13" t="s">
        <v>613</v>
      </c>
      <c r="CV49" s="16" t="s">
        <v>261</v>
      </c>
    </row>
    <row r="50" spans="1:100" s="13" customFormat="1" ht="72">
      <c r="A50" s="12" t="s">
        <v>288</v>
      </c>
      <c r="B50" s="13" t="str">
        <f t="shared" si="12"/>
        <v>090777</v>
      </c>
      <c r="C50" s="13" t="s">
        <v>96</v>
      </c>
      <c r="D50" s="13" t="s">
        <v>97</v>
      </c>
      <c r="E50" s="13" t="s">
        <v>614</v>
      </c>
      <c r="F50" s="43">
        <v>46220</v>
      </c>
      <c r="G50" s="43">
        <f t="shared" si="24"/>
        <v>46233</v>
      </c>
      <c r="H50" s="15" t="s">
        <v>546</v>
      </c>
      <c r="I50" s="15" t="s">
        <v>100</v>
      </c>
      <c r="J50" s="15" t="s">
        <v>100</v>
      </c>
      <c r="K50" s="14">
        <v>46214</v>
      </c>
      <c r="L50" s="42">
        <v>1620021280</v>
      </c>
      <c r="M50" s="13">
        <f t="shared" si="13"/>
        <v>3</v>
      </c>
      <c r="N50" s="43">
        <v>46177</v>
      </c>
      <c r="O50" s="30" t="s">
        <v>101</v>
      </c>
      <c r="P50" s="16" t="s">
        <v>102</v>
      </c>
      <c r="Q50" s="17" t="s">
        <v>573</v>
      </c>
      <c r="R50" s="42" t="s">
        <v>574</v>
      </c>
      <c r="S50" s="13" t="s">
        <v>274</v>
      </c>
      <c r="T50" s="24">
        <v>300</v>
      </c>
      <c r="U50" s="24">
        <v>1430</v>
      </c>
      <c r="V50" s="24">
        <f t="shared" si="3"/>
        <v>429000</v>
      </c>
      <c r="W50" s="24">
        <v>0</v>
      </c>
      <c r="X50" s="18">
        <f t="shared" si="22"/>
        <v>429000</v>
      </c>
      <c r="Y50" s="19" t="s">
        <v>615</v>
      </c>
      <c r="Z50" s="14">
        <v>46180</v>
      </c>
      <c r="AA50" s="13" t="s">
        <v>616</v>
      </c>
      <c r="AB50" s="13">
        <v>24.89</v>
      </c>
      <c r="AC50" s="13" t="s">
        <v>617</v>
      </c>
      <c r="AD50" s="13">
        <v>24.95</v>
      </c>
      <c r="AE50" s="13" t="s">
        <v>618</v>
      </c>
      <c r="AF50" s="13">
        <v>25.24</v>
      </c>
      <c r="AG50" s="13" t="s">
        <v>110</v>
      </c>
      <c r="AH50" s="13" t="s">
        <v>110</v>
      </c>
      <c r="AI50" s="13" t="s">
        <v>110</v>
      </c>
      <c r="AJ50" s="13" t="s">
        <v>110</v>
      </c>
      <c r="AK50" s="13">
        <v>75080</v>
      </c>
      <c r="AL50" s="13" t="s">
        <v>586</v>
      </c>
      <c r="AM50" s="13" t="s">
        <v>112</v>
      </c>
      <c r="AN50" s="16" t="s">
        <v>619</v>
      </c>
      <c r="AO50" s="16" t="s">
        <v>599</v>
      </c>
      <c r="AP50" s="13" t="s">
        <v>115</v>
      </c>
      <c r="AQ50" s="13" t="s">
        <v>116</v>
      </c>
      <c r="AR50" s="13" t="s">
        <v>116</v>
      </c>
      <c r="AS50" s="13">
        <v>72044900</v>
      </c>
      <c r="AT50" s="13" t="s">
        <v>117</v>
      </c>
      <c r="AU50" s="13" t="s">
        <v>620</v>
      </c>
      <c r="AV50" s="13" t="s">
        <v>119</v>
      </c>
      <c r="AW50" s="24">
        <v>800</v>
      </c>
      <c r="AX50" s="13" t="s">
        <v>621</v>
      </c>
      <c r="AY50" s="16" t="s">
        <v>622</v>
      </c>
      <c r="AZ50" s="14">
        <v>46214</v>
      </c>
      <c r="BA50" s="45">
        <v>75.08</v>
      </c>
      <c r="BB50" s="24">
        <v>1430</v>
      </c>
      <c r="BC50" s="24">
        <v>0</v>
      </c>
      <c r="BD50" s="24">
        <v>96.26</v>
      </c>
      <c r="BE50" s="24">
        <f t="shared" si="15"/>
        <v>107364.4</v>
      </c>
      <c r="BF50" s="18">
        <v>0</v>
      </c>
      <c r="BG50" s="13" t="s">
        <v>110</v>
      </c>
      <c r="BH50" s="20">
        <f t="shared" si="21"/>
        <v>107364.4</v>
      </c>
      <c r="BI50" s="24">
        <f t="shared" si="5"/>
        <v>10521711.199999999</v>
      </c>
      <c r="BJ50" s="18">
        <f t="shared" si="17"/>
        <v>107364.4</v>
      </c>
      <c r="BK50" s="24">
        <f t="shared" si="6"/>
        <v>12436925.681179998</v>
      </c>
      <c r="BL50" s="24">
        <f t="shared" si="25"/>
        <v>10334897.143999999</v>
      </c>
      <c r="BM50" s="14">
        <v>46232</v>
      </c>
      <c r="BN50" s="24">
        <v>0</v>
      </c>
      <c r="BO50" s="24">
        <v>0</v>
      </c>
      <c r="BP50" s="24">
        <f t="shared" si="19"/>
        <v>0</v>
      </c>
      <c r="BQ50" s="24">
        <f>14834.9+3968.28</f>
        <v>18803.18</v>
      </c>
      <c r="BR50" s="13" t="s">
        <v>122</v>
      </c>
      <c r="BS50" s="13" t="s">
        <v>123</v>
      </c>
      <c r="BT50" s="13" t="s">
        <v>124</v>
      </c>
      <c r="BU50" s="13" t="s">
        <v>299</v>
      </c>
      <c r="BV50" s="13" t="s">
        <v>354</v>
      </c>
      <c r="BW50" s="16" t="s">
        <v>355</v>
      </c>
      <c r="BX50" s="13">
        <v>214</v>
      </c>
      <c r="BY50" s="13" t="s">
        <v>124</v>
      </c>
      <c r="BZ50" s="24">
        <v>87096.44</v>
      </c>
      <c r="CA50" s="18" t="s">
        <v>130</v>
      </c>
      <c r="CB50" s="22" t="s">
        <v>110</v>
      </c>
      <c r="CC50" s="33" t="s">
        <v>110</v>
      </c>
      <c r="CD50" s="18" t="s">
        <v>110</v>
      </c>
      <c r="CE50" s="24" t="s">
        <v>124</v>
      </c>
      <c r="CF50" s="13" t="s">
        <v>124</v>
      </c>
      <c r="CG50" s="13">
        <v>2577084</v>
      </c>
      <c r="CH50" s="13" t="s">
        <v>100</v>
      </c>
      <c r="CI50" s="24">
        <v>97.2</v>
      </c>
      <c r="CJ50" s="24">
        <f t="shared" si="8"/>
        <v>1915214.4811799999</v>
      </c>
      <c r="CK50" s="24">
        <v>107364.4</v>
      </c>
      <c r="CL50" s="24">
        <f t="shared" si="14"/>
        <v>10435820</v>
      </c>
      <c r="CM50" s="24">
        <v>0</v>
      </c>
      <c r="CN50" s="18">
        <f t="shared" si="9"/>
        <v>10435820</v>
      </c>
      <c r="CO50" s="18">
        <f t="shared" si="23"/>
        <v>1878448</v>
      </c>
      <c r="CP50" s="24">
        <v>7720</v>
      </c>
      <c r="CQ50" s="18">
        <f t="shared" si="11"/>
        <v>1886168</v>
      </c>
      <c r="CR50" s="24">
        <f>147300+177+12320+3250+3250+3250+900+2900+168</f>
        <v>173515</v>
      </c>
      <c r="CS50" s="14">
        <v>46239</v>
      </c>
      <c r="CT50" s="13" t="s">
        <v>110</v>
      </c>
      <c r="CU50" s="13" t="s">
        <v>623</v>
      </c>
    </row>
    <row r="51" spans="1:100" s="13" customFormat="1" ht="43.2">
      <c r="A51" s="12" t="s">
        <v>288</v>
      </c>
      <c r="B51" s="13" t="str">
        <f t="shared" si="12"/>
        <v>090985</v>
      </c>
      <c r="C51" s="13" t="s">
        <v>96</v>
      </c>
      <c r="D51" s="13" t="s">
        <v>97</v>
      </c>
      <c r="E51" s="13" t="s">
        <v>624</v>
      </c>
      <c r="F51" s="43">
        <v>46223</v>
      </c>
      <c r="G51" s="43">
        <f t="shared" si="24"/>
        <v>46236</v>
      </c>
      <c r="H51" s="15" t="s">
        <v>546</v>
      </c>
      <c r="I51" s="15" t="s">
        <v>100</v>
      </c>
      <c r="J51" s="15" t="s">
        <v>100</v>
      </c>
      <c r="K51" s="43">
        <v>46214</v>
      </c>
      <c r="L51" s="42">
        <v>1620021280</v>
      </c>
      <c r="M51" s="13">
        <f t="shared" si="13"/>
        <v>1</v>
      </c>
      <c r="N51" s="43">
        <v>46177</v>
      </c>
      <c r="O51" s="30" t="s">
        <v>101</v>
      </c>
      <c r="P51" s="16" t="s">
        <v>102</v>
      </c>
      <c r="Q51" s="17" t="s">
        <v>573</v>
      </c>
      <c r="R51" s="42" t="s">
        <v>574</v>
      </c>
      <c r="S51" s="13" t="s">
        <v>274</v>
      </c>
      <c r="T51" s="24">
        <v>300</v>
      </c>
      <c r="U51" s="24">
        <v>1430</v>
      </c>
      <c r="V51" s="24">
        <f t="shared" si="3"/>
        <v>429000</v>
      </c>
      <c r="W51" s="24">
        <v>0</v>
      </c>
      <c r="X51" s="18">
        <f t="shared" si="22"/>
        <v>429000</v>
      </c>
      <c r="Y51" s="28">
        <v>8110046082</v>
      </c>
      <c r="Z51" s="14">
        <v>46183</v>
      </c>
      <c r="AA51" s="13" t="s">
        <v>625</v>
      </c>
      <c r="AB51" s="13">
        <v>25.01</v>
      </c>
      <c r="AC51" s="13" t="s">
        <v>110</v>
      </c>
      <c r="AD51" s="13" t="s">
        <v>110</v>
      </c>
      <c r="AE51" s="13" t="s">
        <v>110</v>
      </c>
      <c r="AF51" s="13" t="s">
        <v>110</v>
      </c>
      <c r="AG51" s="13" t="s">
        <v>110</v>
      </c>
      <c r="AH51" s="13" t="s">
        <v>110</v>
      </c>
      <c r="AI51" s="13" t="s">
        <v>110</v>
      </c>
      <c r="AJ51" s="13" t="s">
        <v>110</v>
      </c>
      <c r="AK51" s="13">
        <v>25010</v>
      </c>
      <c r="AL51" s="13" t="s">
        <v>626</v>
      </c>
      <c r="AM51" s="13" t="s">
        <v>112</v>
      </c>
      <c r="AN51" s="47" t="s">
        <v>627</v>
      </c>
      <c r="AO51" s="16" t="s">
        <v>599</v>
      </c>
      <c r="AP51" s="13" t="s">
        <v>115</v>
      </c>
      <c r="AQ51" s="13" t="s">
        <v>116</v>
      </c>
      <c r="AR51" s="13" t="s">
        <v>116</v>
      </c>
      <c r="AS51" s="13">
        <v>72044900</v>
      </c>
      <c r="AT51" s="13" t="s">
        <v>117</v>
      </c>
      <c r="AU51" s="13" t="s">
        <v>628</v>
      </c>
      <c r="AV51" s="13" t="s">
        <v>119</v>
      </c>
      <c r="AW51" s="24">
        <v>800</v>
      </c>
      <c r="AX51" s="13" t="s">
        <v>629</v>
      </c>
      <c r="AY51" s="13">
        <v>9000102175</v>
      </c>
      <c r="AZ51" s="14">
        <v>46214</v>
      </c>
      <c r="BA51" s="13">
        <v>25.01</v>
      </c>
      <c r="BB51" s="24">
        <v>1430</v>
      </c>
      <c r="BC51" s="24">
        <v>0</v>
      </c>
      <c r="BD51" s="24">
        <v>96.614999999999995</v>
      </c>
      <c r="BE51" s="24">
        <f t="shared" si="15"/>
        <v>35764.300000000003</v>
      </c>
      <c r="BF51" s="18">
        <v>0</v>
      </c>
      <c r="BG51" s="13" t="s">
        <v>110</v>
      </c>
      <c r="BH51" s="20">
        <f t="shared" si="21"/>
        <v>35764.300000000003</v>
      </c>
      <c r="BI51" s="24">
        <f t="shared" si="5"/>
        <v>3504901.4000000004</v>
      </c>
      <c r="BJ51" s="18">
        <f t="shared" si="17"/>
        <v>35764.300000000003</v>
      </c>
      <c r="BK51" s="24">
        <f t="shared" si="6"/>
        <v>4142881.0773350005</v>
      </c>
      <c r="BL51" s="24">
        <f t="shared" si="25"/>
        <v>3455367.8445000001</v>
      </c>
      <c r="BM51" s="14">
        <v>46224</v>
      </c>
      <c r="BN51" s="24">
        <v>0</v>
      </c>
      <c r="BO51" s="24">
        <v>0</v>
      </c>
      <c r="BP51" s="24">
        <f t="shared" si="19"/>
        <v>0</v>
      </c>
      <c r="BQ51" s="24">
        <f>7955.37+2729.96</f>
        <v>10685.33</v>
      </c>
      <c r="BR51" s="13" t="s">
        <v>122</v>
      </c>
      <c r="BS51" s="13" t="s">
        <v>169</v>
      </c>
      <c r="BT51" s="13" t="s">
        <v>124</v>
      </c>
      <c r="BU51" s="13" t="s">
        <v>299</v>
      </c>
      <c r="BV51" s="13" t="s">
        <v>354</v>
      </c>
      <c r="BW51" s="16" t="s">
        <v>355</v>
      </c>
      <c r="BX51" s="13">
        <v>216</v>
      </c>
      <c r="BY51" s="13" t="s">
        <v>124</v>
      </c>
      <c r="BZ51" s="24">
        <v>37235</v>
      </c>
      <c r="CA51" s="18" t="s">
        <v>130</v>
      </c>
      <c r="CB51" s="22" t="s">
        <v>110</v>
      </c>
      <c r="CC51" s="33" t="s">
        <v>110</v>
      </c>
      <c r="CD51" s="18">
        <v>0</v>
      </c>
      <c r="CE51" s="24" t="s">
        <v>124</v>
      </c>
      <c r="CF51" s="13" t="s">
        <v>124</v>
      </c>
      <c r="CG51" s="13">
        <v>2577202</v>
      </c>
      <c r="CH51" s="13" t="s">
        <v>172</v>
      </c>
      <c r="CI51" s="24">
        <v>97.2</v>
      </c>
      <c r="CJ51" s="24">
        <f t="shared" si="8"/>
        <v>637979.67733500013</v>
      </c>
      <c r="CK51" s="24">
        <v>35764.300000000003</v>
      </c>
      <c r="CL51" s="24">
        <f t="shared" si="14"/>
        <v>3476290</v>
      </c>
      <c r="CM51" s="24">
        <v>0</v>
      </c>
      <c r="CN51" s="18">
        <f t="shared" si="9"/>
        <v>3476290</v>
      </c>
      <c r="CO51" s="18">
        <f t="shared" si="23"/>
        <v>625732</v>
      </c>
      <c r="CP51" s="24">
        <v>0</v>
      </c>
      <c r="CQ51" s="18">
        <f t="shared" si="11"/>
        <v>625732</v>
      </c>
      <c r="CR51" s="24">
        <f>37100+9478</f>
        <v>46578</v>
      </c>
      <c r="CS51" s="14">
        <v>46229</v>
      </c>
      <c r="CT51" s="13" t="s">
        <v>110</v>
      </c>
      <c r="CU51" s="13" t="s">
        <v>630</v>
      </c>
    </row>
    <row r="52" spans="1:100" s="13" customFormat="1" ht="43.2">
      <c r="A52" s="12" t="s">
        <v>288</v>
      </c>
      <c r="B52" s="13" t="str">
        <f t="shared" si="12"/>
        <v>090780</v>
      </c>
      <c r="C52" s="13" t="s">
        <v>96</v>
      </c>
      <c r="D52" s="13" t="s">
        <v>97</v>
      </c>
      <c r="E52" s="13" t="s">
        <v>631</v>
      </c>
      <c r="F52" s="43">
        <v>46266</v>
      </c>
      <c r="G52" s="43">
        <f t="shared" si="24"/>
        <v>46279</v>
      </c>
      <c r="H52" s="15" t="s">
        <v>546</v>
      </c>
      <c r="I52" s="15" t="s">
        <v>100</v>
      </c>
      <c r="J52" s="15" t="s">
        <v>100</v>
      </c>
      <c r="K52" s="14">
        <v>46247</v>
      </c>
      <c r="L52" s="42">
        <v>1620021281</v>
      </c>
      <c r="M52" s="13">
        <f t="shared" si="13"/>
        <v>2</v>
      </c>
      <c r="N52" s="43">
        <v>46177</v>
      </c>
      <c r="O52" s="30" t="s">
        <v>101</v>
      </c>
      <c r="P52" s="16" t="s">
        <v>102</v>
      </c>
      <c r="Q52" s="17" t="s">
        <v>632</v>
      </c>
      <c r="R52" s="42" t="s">
        <v>633</v>
      </c>
      <c r="S52" s="13" t="s">
        <v>634</v>
      </c>
      <c r="T52" s="24">
        <v>200</v>
      </c>
      <c r="U52" s="24">
        <v>730</v>
      </c>
      <c r="V52" s="24">
        <f t="shared" si="3"/>
        <v>146000</v>
      </c>
      <c r="W52" s="24">
        <v>0</v>
      </c>
      <c r="X52" s="18">
        <f t="shared" si="22"/>
        <v>146000</v>
      </c>
      <c r="Y52" s="19" t="s">
        <v>635</v>
      </c>
      <c r="Z52" s="14">
        <v>46179</v>
      </c>
      <c r="AA52" s="13" t="s">
        <v>636</v>
      </c>
      <c r="AB52" s="13">
        <v>25.06</v>
      </c>
      <c r="AC52" s="13" t="s">
        <v>637</v>
      </c>
      <c r="AD52" s="13">
        <v>25.35</v>
      </c>
      <c r="AE52" s="13" t="s">
        <v>110</v>
      </c>
      <c r="AF52" s="13" t="s">
        <v>110</v>
      </c>
      <c r="AG52" s="13" t="s">
        <v>110</v>
      </c>
      <c r="AH52" s="13" t="s">
        <v>110</v>
      </c>
      <c r="AI52" s="13" t="s">
        <v>110</v>
      </c>
      <c r="AJ52" s="13" t="s">
        <v>110</v>
      </c>
      <c r="AK52" s="13">
        <v>50410</v>
      </c>
      <c r="AL52" s="16" t="s">
        <v>638</v>
      </c>
      <c r="AM52" s="13" t="s">
        <v>112</v>
      </c>
      <c r="AN52" s="16" t="s">
        <v>639</v>
      </c>
      <c r="AO52" s="13" t="s">
        <v>588</v>
      </c>
      <c r="AP52" s="13" t="s">
        <v>115</v>
      </c>
      <c r="AQ52" s="13" t="s">
        <v>116</v>
      </c>
      <c r="AR52" s="13" t="s">
        <v>116</v>
      </c>
      <c r="AS52" s="13">
        <v>72044900</v>
      </c>
      <c r="AT52" s="13" t="s">
        <v>117</v>
      </c>
      <c r="AU52" s="13" t="s">
        <v>640</v>
      </c>
      <c r="AV52" s="13" t="s">
        <v>119</v>
      </c>
      <c r="AW52" s="24">
        <v>800</v>
      </c>
      <c r="AX52" s="13" t="s">
        <v>641</v>
      </c>
      <c r="AY52" s="16" t="s">
        <v>642</v>
      </c>
      <c r="AZ52" s="14">
        <v>46247</v>
      </c>
      <c r="BA52" s="13">
        <v>50.41</v>
      </c>
      <c r="BB52" s="24">
        <v>730</v>
      </c>
      <c r="BC52" s="24">
        <v>0</v>
      </c>
      <c r="BD52" s="24">
        <v>95.89</v>
      </c>
      <c r="BE52" s="24">
        <f t="shared" si="15"/>
        <v>36799.299999999996</v>
      </c>
      <c r="BF52" s="18">
        <v>0</v>
      </c>
      <c r="BG52" s="13" t="s">
        <v>110</v>
      </c>
      <c r="BH52" s="20">
        <f t="shared" si="21"/>
        <v>36799.300000000003</v>
      </c>
      <c r="BI52" s="24">
        <f t="shared" si="5"/>
        <v>3606331.4000000004</v>
      </c>
      <c r="BJ52" s="18">
        <f t="shared" si="17"/>
        <v>36799.300000000003</v>
      </c>
      <c r="BK52" s="24">
        <f t="shared" si="6"/>
        <v>4262773.8730850006</v>
      </c>
      <c r="BL52" s="24">
        <f t="shared" si="25"/>
        <v>3528684.8770000003</v>
      </c>
      <c r="BM52" s="14">
        <v>46255</v>
      </c>
      <c r="BN52" s="24">
        <v>0</v>
      </c>
      <c r="BO52" s="24">
        <v>0</v>
      </c>
      <c r="BP52" s="24">
        <f t="shared" si="19"/>
        <v>0</v>
      </c>
      <c r="BQ52" s="24">
        <f>8028.68+2743.16</f>
        <v>10771.84</v>
      </c>
      <c r="BR52" s="13" t="s">
        <v>122</v>
      </c>
      <c r="BS52" s="13" t="s">
        <v>169</v>
      </c>
      <c r="BT52" s="13" t="s">
        <v>124</v>
      </c>
      <c r="BU52" s="13" t="s">
        <v>299</v>
      </c>
      <c r="BV52" s="13" t="s">
        <v>258</v>
      </c>
      <c r="BW52" s="16" t="s">
        <v>127</v>
      </c>
      <c r="BX52" s="13" t="s">
        <v>643</v>
      </c>
      <c r="BY52" s="13" t="s">
        <v>124</v>
      </c>
      <c r="BZ52" s="24">
        <v>59897.9</v>
      </c>
      <c r="CA52" s="18" t="s">
        <v>130</v>
      </c>
      <c r="CB52" s="22" t="s">
        <v>110</v>
      </c>
      <c r="CC52" s="33" t="s">
        <v>110</v>
      </c>
      <c r="CD52" s="18" t="s">
        <v>110</v>
      </c>
      <c r="CE52" s="24" t="s">
        <v>124</v>
      </c>
      <c r="CF52" s="13" t="s">
        <v>124</v>
      </c>
      <c r="CG52" s="13">
        <v>3314926</v>
      </c>
      <c r="CH52" s="13" t="s">
        <v>172</v>
      </c>
      <c r="CI52" s="24">
        <v>96.5</v>
      </c>
      <c r="CJ52" s="24">
        <f t="shared" si="8"/>
        <v>656442.47308499995</v>
      </c>
      <c r="CK52" s="24">
        <v>36799.300000000003</v>
      </c>
      <c r="CL52" s="24">
        <f t="shared" si="14"/>
        <v>3551132</v>
      </c>
      <c r="CM52" s="24">
        <v>0</v>
      </c>
      <c r="CN52" s="18">
        <f t="shared" si="9"/>
        <v>3551132</v>
      </c>
      <c r="CO52" s="18">
        <f t="shared" si="23"/>
        <v>639204</v>
      </c>
      <c r="CP52" s="24">
        <v>0</v>
      </c>
      <c r="CQ52" s="18">
        <f t="shared" si="11"/>
        <v>639204</v>
      </c>
      <c r="CR52" s="24"/>
      <c r="CS52" s="14">
        <v>46276</v>
      </c>
      <c r="CT52" s="13" t="s">
        <v>110</v>
      </c>
      <c r="CU52" s="13" t="s">
        <v>644</v>
      </c>
      <c r="CV52" s="16" t="s">
        <v>261</v>
      </c>
    </row>
    <row r="53" spans="1:100" s="13" customFormat="1" ht="43.2">
      <c r="A53" s="12" t="s">
        <v>288</v>
      </c>
      <c r="B53" s="13" t="str">
        <f t="shared" si="12"/>
        <v>090782</v>
      </c>
      <c r="C53" s="13" t="s">
        <v>96</v>
      </c>
      <c r="D53" s="13" t="s">
        <v>97</v>
      </c>
      <c r="E53" s="13" t="s">
        <v>645</v>
      </c>
      <c r="F53" s="43">
        <v>46268</v>
      </c>
      <c r="G53" s="43">
        <f t="shared" si="24"/>
        <v>46281</v>
      </c>
      <c r="H53" s="15" t="s">
        <v>99</v>
      </c>
      <c r="I53" s="15" t="s">
        <v>100</v>
      </c>
      <c r="J53" s="15" t="s">
        <v>100</v>
      </c>
      <c r="K53" s="14">
        <v>46247</v>
      </c>
      <c r="L53" s="42">
        <v>1620021281</v>
      </c>
      <c r="M53" s="13">
        <f t="shared" si="13"/>
        <v>2</v>
      </c>
      <c r="N53" s="43">
        <v>46177</v>
      </c>
      <c r="O53" s="30" t="s">
        <v>101</v>
      </c>
      <c r="P53" s="16" t="s">
        <v>102</v>
      </c>
      <c r="Q53" s="17" t="s">
        <v>632</v>
      </c>
      <c r="R53" s="42" t="s">
        <v>633</v>
      </c>
      <c r="S53" s="13" t="s">
        <v>634</v>
      </c>
      <c r="T53" s="24">
        <v>200</v>
      </c>
      <c r="U53" s="24">
        <v>730</v>
      </c>
      <c r="V53" s="24">
        <f t="shared" si="3"/>
        <v>146000</v>
      </c>
      <c r="W53" s="24">
        <v>0</v>
      </c>
      <c r="X53" s="18">
        <f t="shared" si="22"/>
        <v>146000</v>
      </c>
      <c r="Y53" s="16" t="s">
        <v>211</v>
      </c>
      <c r="Z53" s="14">
        <v>46247</v>
      </c>
      <c r="AA53" s="13" t="s">
        <v>646</v>
      </c>
      <c r="AB53" s="13">
        <v>24.51</v>
      </c>
      <c r="AC53" s="13" t="s">
        <v>647</v>
      </c>
      <c r="AD53" s="13">
        <v>25.15</v>
      </c>
      <c r="AE53" s="13" t="s">
        <v>110</v>
      </c>
      <c r="AF53" s="13" t="s">
        <v>110</v>
      </c>
      <c r="AG53" s="13" t="s">
        <v>110</v>
      </c>
      <c r="AH53" s="13" t="s">
        <v>110</v>
      </c>
      <c r="AI53" s="13" t="s">
        <v>110</v>
      </c>
      <c r="AJ53" s="13" t="s">
        <v>110</v>
      </c>
      <c r="AK53" s="13">
        <v>49660</v>
      </c>
      <c r="AL53" s="16" t="s">
        <v>638</v>
      </c>
      <c r="AM53" s="13" t="s">
        <v>112</v>
      </c>
      <c r="AN53" s="16" t="s">
        <v>648</v>
      </c>
      <c r="AO53" s="13" t="s">
        <v>588</v>
      </c>
      <c r="AP53" s="13" t="s">
        <v>115</v>
      </c>
      <c r="AQ53" s="13" t="s">
        <v>116</v>
      </c>
      <c r="AR53" s="13" t="s">
        <v>116</v>
      </c>
      <c r="AS53" s="13">
        <v>72044900</v>
      </c>
      <c r="AT53" s="13" t="s">
        <v>117</v>
      </c>
      <c r="AU53" s="13" t="s">
        <v>649</v>
      </c>
      <c r="AV53" s="13" t="s">
        <v>119</v>
      </c>
      <c r="AW53" s="24">
        <v>800</v>
      </c>
      <c r="AX53" s="13" t="s">
        <v>650</v>
      </c>
      <c r="AY53" s="16" t="s">
        <v>651</v>
      </c>
      <c r="AZ53" s="14">
        <v>46247</v>
      </c>
      <c r="BA53" s="45">
        <v>49.66</v>
      </c>
      <c r="BB53" s="24">
        <v>730</v>
      </c>
      <c r="BC53" s="24">
        <v>0</v>
      </c>
      <c r="BD53" s="24">
        <v>95.89</v>
      </c>
      <c r="BE53" s="24">
        <f t="shared" si="15"/>
        <v>36251.799999999996</v>
      </c>
      <c r="BF53" s="18">
        <v>0</v>
      </c>
      <c r="BG53" s="13" t="s">
        <v>110</v>
      </c>
      <c r="BH53" s="20">
        <f t="shared" si="21"/>
        <v>36251.800000000003</v>
      </c>
      <c r="BI53" s="24">
        <f t="shared" si="5"/>
        <v>3552676.4000000004</v>
      </c>
      <c r="BJ53" s="18">
        <f t="shared" si="17"/>
        <v>36251.800000000003</v>
      </c>
      <c r="BK53" s="24">
        <f t="shared" si="6"/>
        <v>4199352.3217100007</v>
      </c>
      <c r="BL53" s="24">
        <f t="shared" si="25"/>
        <v>3476185.1020000004</v>
      </c>
      <c r="BM53" s="14">
        <v>46255</v>
      </c>
      <c r="BN53" s="24">
        <v>0</v>
      </c>
      <c r="BO53" s="24">
        <v>0</v>
      </c>
      <c r="BP53" s="24">
        <f t="shared" si="19"/>
        <v>0</v>
      </c>
      <c r="BQ53" s="24">
        <f>7976.19+2733.72</f>
        <v>10709.91</v>
      </c>
      <c r="BR53" s="13" t="s">
        <v>122</v>
      </c>
      <c r="BS53" s="13" t="s">
        <v>169</v>
      </c>
      <c r="BT53" s="13" t="s">
        <v>124</v>
      </c>
      <c r="BU53" s="13" t="s">
        <v>299</v>
      </c>
      <c r="BV53" s="13" t="s">
        <v>258</v>
      </c>
      <c r="BW53" s="16" t="s">
        <v>127</v>
      </c>
      <c r="BX53" s="13" t="s">
        <v>652</v>
      </c>
      <c r="BY53" s="13" t="s">
        <v>124</v>
      </c>
      <c r="BZ53" s="24">
        <v>59397.9</v>
      </c>
      <c r="CA53" s="18" t="s">
        <v>130</v>
      </c>
      <c r="CB53" s="22" t="s">
        <v>110</v>
      </c>
      <c r="CC53" s="33" t="s">
        <v>110</v>
      </c>
      <c r="CD53" s="18" t="s">
        <v>110</v>
      </c>
      <c r="CE53" s="24" t="s">
        <v>124</v>
      </c>
      <c r="CF53" s="13" t="s">
        <v>124</v>
      </c>
      <c r="CG53" s="13">
        <v>3315156</v>
      </c>
      <c r="CH53" s="13" t="s">
        <v>100</v>
      </c>
      <c r="CI53" s="24">
        <v>96.5</v>
      </c>
      <c r="CJ53" s="24">
        <f t="shared" si="8"/>
        <v>646675.92171000014</v>
      </c>
      <c r="CK53" s="24">
        <v>36251.800000000003</v>
      </c>
      <c r="CL53" s="24">
        <f t="shared" si="14"/>
        <v>3498299</v>
      </c>
      <c r="CM53" s="24">
        <v>0</v>
      </c>
      <c r="CN53" s="18">
        <f t="shared" si="9"/>
        <v>3498299</v>
      </c>
      <c r="CO53" s="18">
        <f t="shared" si="23"/>
        <v>629694</v>
      </c>
      <c r="CP53" s="24">
        <v>0</v>
      </c>
      <c r="CQ53" s="18">
        <f t="shared" si="11"/>
        <v>629694</v>
      </c>
      <c r="CR53" s="24"/>
      <c r="CS53" s="14">
        <v>46277</v>
      </c>
      <c r="CT53" s="13" t="s">
        <v>110</v>
      </c>
      <c r="CU53" s="13" t="s">
        <v>653</v>
      </c>
      <c r="CV53" s="16" t="s">
        <v>261</v>
      </c>
    </row>
    <row r="54" spans="1:100" s="13" customFormat="1" ht="43.2">
      <c r="A54" s="12" t="s">
        <v>288</v>
      </c>
      <c r="B54" s="13" t="str">
        <f t="shared" si="12"/>
        <v>090778</v>
      </c>
      <c r="C54" s="13" t="s">
        <v>96</v>
      </c>
      <c r="D54" s="13" t="s">
        <v>97</v>
      </c>
      <c r="E54" s="13" t="s">
        <v>654</v>
      </c>
      <c r="F54" s="43">
        <v>46267</v>
      </c>
      <c r="G54" s="43">
        <f t="shared" si="24"/>
        <v>46280</v>
      </c>
      <c r="H54" s="15" t="s">
        <v>99</v>
      </c>
      <c r="I54" s="15" t="s">
        <v>100</v>
      </c>
      <c r="J54" s="15" t="s">
        <v>100</v>
      </c>
      <c r="K54" s="14">
        <v>46247</v>
      </c>
      <c r="L54" s="42">
        <v>1620021281</v>
      </c>
      <c r="M54" s="13">
        <f t="shared" si="13"/>
        <v>2</v>
      </c>
      <c r="N54" s="43">
        <v>46177</v>
      </c>
      <c r="O54" s="30" t="s">
        <v>101</v>
      </c>
      <c r="P54" s="16" t="s">
        <v>102</v>
      </c>
      <c r="Q54" s="17" t="s">
        <v>632</v>
      </c>
      <c r="R54" s="42" t="s">
        <v>633</v>
      </c>
      <c r="S54" s="13" t="s">
        <v>634</v>
      </c>
      <c r="T54" s="24">
        <v>200</v>
      </c>
      <c r="U54" s="24">
        <v>730</v>
      </c>
      <c r="V54" s="24">
        <f t="shared" si="3"/>
        <v>146000</v>
      </c>
      <c r="W54" s="24">
        <v>0</v>
      </c>
      <c r="X54" s="18">
        <f t="shared" si="22"/>
        <v>146000</v>
      </c>
      <c r="Y54" s="19" t="s">
        <v>655</v>
      </c>
      <c r="Z54" s="14">
        <v>46180</v>
      </c>
      <c r="AA54" s="13" t="s">
        <v>656</v>
      </c>
      <c r="AB54" s="13">
        <v>24.8</v>
      </c>
      <c r="AC54" s="13" t="s">
        <v>657</v>
      </c>
      <c r="AD54" s="13">
        <v>25.07</v>
      </c>
      <c r="AE54" s="13" t="s">
        <v>110</v>
      </c>
      <c r="AF54" s="13" t="s">
        <v>110</v>
      </c>
      <c r="AG54" s="13" t="s">
        <v>110</v>
      </c>
      <c r="AH54" s="13" t="s">
        <v>110</v>
      </c>
      <c r="AI54" s="13" t="s">
        <v>110</v>
      </c>
      <c r="AJ54" s="13" t="s">
        <v>110</v>
      </c>
      <c r="AK54" s="13">
        <v>49870</v>
      </c>
      <c r="AL54" s="16" t="s">
        <v>638</v>
      </c>
      <c r="AM54" s="13" t="s">
        <v>112</v>
      </c>
      <c r="AN54" s="16" t="s">
        <v>658</v>
      </c>
      <c r="AO54" s="13" t="s">
        <v>588</v>
      </c>
      <c r="AP54" s="13" t="s">
        <v>115</v>
      </c>
      <c r="AQ54" s="13" t="s">
        <v>116</v>
      </c>
      <c r="AR54" s="13" t="s">
        <v>116</v>
      </c>
      <c r="AS54" s="13">
        <v>72044900</v>
      </c>
      <c r="AT54" s="13" t="s">
        <v>117</v>
      </c>
      <c r="AU54" s="13" t="s">
        <v>659</v>
      </c>
      <c r="AV54" s="13" t="s">
        <v>119</v>
      </c>
      <c r="AW54" s="24">
        <v>800</v>
      </c>
      <c r="AX54" s="13" t="s">
        <v>660</v>
      </c>
      <c r="AY54" s="16" t="s">
        <v>661</v>
      </c>
      <c r="AZ54" s="14">
        <v>46247</v>
      </c>
      <c r="BA54" s="45">
        <v>49.86</v>
      </c>
      <c r="BB54" s="24">
        <v>730</v>
      </c>
      <c r="BC54" s="24">
        <v>0</v>
      </c>
      <c r="BD54" s="24">
        <v>95.89</v>
      </c>
      <c r="BE54" s="24">
        <f t="shared" si="15"/>
        <v>36397.800000000003</v>
      </c>
      <c r="BF54" s="18">
        <v>0</v>
      </c>
      <c r="BG54" s="13" t="s">
        <v>110</v>
      </c>
      <c r="BH54" s="20">
        <f t="shared" si="21"/>
        <v>36397.800000000003</v>
      </c>
      <c r="BI54" s="24">
        <f t="shared" si="5"/>
        <v>3566984.4000000004</v>
      </c>
      <c r="BJ54" s="18">
        <f t="shared" si="17"/>
        <v>36397.800000000003</v>
      </c>
      <c r="BK54" s="24">
        <f t="shared" si="6"/>
        <v>4216394.9560950007</v>
      </c>
      <c r="BL54" s="24">
        <f t="shared" si="25"/>
        <v>3490185.0420000004</v>
      </c>
      <c r="BM54" s="14">
        <v>46255</v>
      </c>
      <c r="BN54" s="24">
        <v>0</v>
      </c>
      <c r="BO54" s="24">
        <v>0</v>
      </c>
      <c r="BP54" s="24">
        <f t="shared" si="19"/>
        <v>0</v>
      </c>
      <c r="BQ54" s="24">
        <f>7990.89+7236.36</f>
        <v>15227.25</v>
      </c>
      <c r="BR54" s="13" t="s">
        <v>122</v>
      </c>
      <c r="BS54" s="13" t="s">
        <v>169</v>
      </c>
      <c r="BT54" s="13" t="s">
        <v>124</v>
      </c>
      <c r="BU54" s="13" t="s">
        <v>299</v>
      </c>
      <c r="BV54" s="13" t="s">
        <v>258</v>
      </c>
      <c r="BW54" s="16" t="s">
        <v>127</v>
      </c>
      <c r="BX54" s="13" t="s">
        <v>662</v>
      </c>
      <c r="BY54" s="13" t="s">
        <v>124</v>
      </c>
      <c r="BZ54" s="24">
        <v>59897.9</v>
      </c>
      <c r="CA54" s="18" t="s">
        <v>130</v>
      </c>
      <c r="CB54" s="22" t="s">
        <v>110</v>
      </c>
      <c r="CC54" s="33" t="s">
        <v>110</v>
      </c>
      <c r="CD54" s="18" t="s">
        <v>110</v>
      </c>
      <c r="CE54" s="24" t="s">
        <v>124</v>
      </c>
      <c r="CF54" s="13" t="s">
        <v>124</v>
      </c>
      <c r="CG54" s="13">
        <v>3315354</v>
      </c>
      <c r="CH54" s="13" t="s">
        <v>100</v>
      </c>
      <c r="CI54" s="24">
        <v>96.5</v>
      </c>
      <c r="CJ54" s="24">
        <f t="shared" si="8"/>
        <v>649410.55609499989</v>
      </c>
      <c r="CK54" s="24">
        <v>36405.1</v>
      </c>
      <c r="CL54" s="24">
        <f t="shared" si="14"/>
        <v>3513092</v>
      </c>
      <c r="CM54" s="24">
        <v>0</v>
      </c>
      <c r="CN54" s="18">
        <f t="shared" si="9"/>
        <v>3513092</v>
      </c>
      <c r="CO54" s="18">
        <f t="shared" si="23"/>
        <v>632357</v>
      </c>
      <c r="CP54" s="24">
        <v>0</v>
      </c>
      <c r="CQ54" s="18">
        <f t="shared" si="11"/>
        <v>632357</v>
      </c>
      <c r="CR54" s="24"/>
      <c r="CS54" s="14">
        <v>46277</v>
      </c>
      <c r="CT54" s="13" t="s">
        <v>110</v>
      </c>
      <c r="CU54" s="13" t="s">
        <v>663</v>
      </c>
      <c r="CV54" s="16" t="s">
        <v>261</v>
      </c>
    </row>
    <row r="55" spans="1:100" s="13" customFormat="1" ht="43.2">
      <c r="A55" s="12" t="s">
        <v>288</v>
      </c>
      <c r="B55" s="13" t="str">
        <f t="shared" si="12"/>
        <v>090784</v>
      </c>
      <c r="C55" s="13" t="s">
        <v>571</v>
      </c>
      <c r="D55" s="13" t="s">
        <v>97</v>
      </c>
      <c r="E55" s="13" t="s">
        <v>664</v>
      </c>
      <c r="F55" s="43">
        <v>46292</v>
      </c>
      <c r="G55" s="43">
        <f t="shared" si="24"/>
        <v>46305</v>
      </c>
      <c r="H55" s="15" t="s">
        <v>99</v>
      </c>
      <c r="I55" s="15" t="s">
        <v>172</v>
      </c>
      <c r="J55" s="15" t="s">
        <v>172</v>
      </c>
      <c r="L55" s="42">
        <v>1620021281</v>
      </c>
      <c r="M55" s="13">
        <f t="shared" si="13"/>
        <v>2</v>
      </c>
      <c r="N55" s="43">
        <v>46177</v>
      </c>
      <c r="O55" s="30" t="s">
        <v>101</v>
      </c>
      <c r="P55" s="16" t="s">
        <v>102</v>
      </c>
      <c r="Q55" s="17" t="s">
        <v>632</v>
      </c>
      <c r="R55" s="42" t="s">
        <v>633</v>
      </c>
      <c r="S55" s="13" t="s">
        <v>634</v>
      </c>
      <c r="T55" s="24">
        <v>200</v>
      </c>
      <c r="U55" s="24">
        <v>730</v>
      </c>
      <c r="V55" s="24">
        <f t="shared" si="3"/>
        <v>146000</v>
      </c>
      <c r="W55" s="24">
        <v>0</v>
      </c>
      <c r="X55" s="18">
        <f t="shared" si="22"/>
        <v>146000</v>
      </c>
      <c r="Y55" s="13" t="s">
        <v>110</v>
      </c>
      <c r="Z55" s="13" t="s">
        <v>110</v>
      </c>
      <c r="AA55" s="13" t="s">
        <v>665</v>
      </c>
      <c r="AB55" s="45">
        <v>25.24</v>
      </c>
      <c r="AC55" s="13" t="s">
        <v>666</v>
      </c>
      <c r="AD55" s="45">
        <v>25.2</v>
      </c>
      <c r="AE55" s="13" t="s">
        <v>110</v>
      </c>
      <c r="AF55" s="13" t="s">
        <v>110</v>
      </c>
      <c r="AG55" s="13" t="s">
        <v>110</v>
      </c>
      <c r="AH55" s="13" t="s">
        <v>110</v>
      </c>
      <c r="AI55" s="13" t="s">
        <v>110</v>
      </c>
      <c r="AJ55" s="13" t="s">
        <v>110</v>
      </c>
      <c r="AK55" s="13">
        <v>50440</v>
      </c>
      <c r="AL55" s="16" t="s">
        <v>638</v>
      </c>
      <c r="AM55" s="13" t="s">
        <v>112</v>
      </c>
      <c r="AN55" s="16">
        <v>1471</v>
      </c>
      <c r="AP55" s="13" t="s">
        <v>115</v>
      </c>
      <c r="AQ55" s="13" t="s">
        <v>116</v>
      </c>
      <c r="AR55" s="13" t="s">
        <v>116</v>
      </c>
      <c r="AS55" s="13">
        <v>72044900</v>
      </c>
      <c r="AT55" s="13" t="s">
        <v>117</v>
      </c>
      <c r="AV55" s="13" t="s">
        <v>119</v>
      </c>
      <c r="AW55" s="24">
        <v>800</v>
      </c>
      <c r="AX55" s="13" t="s">
        <v>667</v>
      </c>
      <c r="BA55" s="45">
        <v>50.44</v>
      </c>
      <c r="BB55" s="24">
        <v>730</v>
      </c>
      <c r="BC55" s="24">
        <v>0</v>
      </c>
      <c r="BD55" s="24"/>
      <c r="BE55" s="24">
        <f t="shared" si="15"/>
        <v>36821.199999999997</v>
      </c>
      <c r="BF55" s="18">
        <v>0</v>
      </c>
      <c r="BG55" s="13" t="s">
        <v>110</v>
      </c>
      <c r="BH55" s="20">
        <f t="shared" si="21"/>
        <v>36821.199999999997</v>
      </c>
      <c r="BI55" s="24">
        <f t="shared" si="5"/>
        <v>3608477.5999999996</v>
      </c>
      <c r="BJ55" s="18">
        <f t="shared" si="17"/>
        <v>36821.199999999997</v>
      </c>
      <c r="BK55" s="24">
        <f t="shared" si="6"/>
        <v>4265310.7351399995</v>
      </c>
      <c r="BL55" s="24">
        <f t="shared" si="25"/>
        <v>0</v>
      </c>
      <c r="BN55" s="24">
        <v>0</v>
      </c>
      <c r="BO55" s="24">
        <v>0</v>
      </c>
      <c r="BP55" s="24">
        <f t="shared" si="19"/>
        <v>0</v>
      </c>
      <c r="BQ55" s="24"/>
      <c r="BR55" s="13" t="s">
        <v>581</v>
      </c>
      <c r="BS55" s="13" t="s">
        <v>169</v>
      </c>
      <c r="BT55" s="13" t="s">
        <v>124</v>
      </c>
      <c r="BU55" s="13" t="s">
        <v>299</v>
      </c>
      <c r="BV55" s="13" t="s">
        <v>1172</v>
      </c>
      <c r="BW55" s="16" t="s">
        <v>127</v>
      </c>
      <c r="BX55" s="13" t="s">
        <v>668</v>
      </c>
      <c r="BY55" s="13" t="s">
        <v>124</v>
      </c>
      <c r="BZ55" s="24"/>
      <c r="CA55" s="24"/>
      <c r="CB55" s="22" t="s">
        <v>110</v>
      </c>
      <c r="CC55" s="33" t="s">
        <v>110</v>
      </c>
      <c r="CD55" s="18" t="s">
        <v>110</v>
      </c>
      <c r="CE55" s="24" t="s">
        <v>124</v>
      </c>
      <c r="CF55" s="13" t="s">
        <v>124</v>
      </c>
      <c r="CH55" s="13" t="s">
        <v>172</v>
      </c>
      <c r="CI55" s="24"/>
      <c r="CJ55" s="24">
        <f t="shared" si="8"/>
        <v>656833.13513999991</v>
      </c>
      <c r="CK55" s="24"/>
      <c r="CL55" s="24">
        <f t="shared" si="14"/>
        <v>0</v>
      </c>
      <c r="CM55" s="24">
        <v>0</v>
      </c>
      <c r="CN55" s="18">
        <f t="shared" si="9"/>
        <v>0</v>
      </c>
      <c r="CO55" s="18">
        <f t="shared" si="23"/>
        <v>0</v>
      </c>
      <c r="CP55" s="24">
        <v>0</v>
      </c>
      <c r="CQ55" s="18">
        <f t="shared" si="11"/>
        <v>0</v>
      </c>
      <c r="CR55" s="24"/>
      <c r="CT55" s="13" t="s">
        <v>110</v>
      </c>
    </row>
    <row r="56" spans="1:100" s="13" customFormat="1" ht="43.2">
      <c r="A56" s="12" t="s">
        <v>288</v>
      </c>
      <c r="B56" s="13" t="str">
        <f t="shared" si="12"/>
        <v>879239</v>
      </c>
      <c r="C56" s="13" t="s">
        <v>96</v>
      </c>
      <c r="D56" s="13" t="s">
        <v>97</v>
      </c>
      <c r="E56" s="13">
        <v>271879239</v>
      </c>
      <c r="F56" s="43">
        <v>46251</v>
      </c>
      <c r="G56" s="43">
        <f t="shared" si="24"/>
        <v>46264</v>
      </c>
      <c r="H56" s="15" t="s">
        <v>99</v>
      </c>
      <c r="I56" s="15" t="s">
        <v>100</v>
      </c>
      <c r="J56" s="15" t="s">
        <v>100</v>
      </c>
      <c r="K56" s="14">
        <v>46244</v>
      </c>
      <c r="L56" s="42">
        <v>1620021296</v>
      </c>
      <c r="M56" s="13">
        <f t="shared" si="13"/>
        <v>1</v>
      </c>
      <c r="N56" s="43">
        <v>46182</v>
      </c>
      <c r="O56" s="30" t="s">
        <v>101</v>
      </c>
      <c r="P56" s="16" t="s">
        <v>102</v>
      </c>
      <c r="Q56" s="39" t="s">
        <v>564</v>
      </c>
      <c r="R56" s="13" t="s">
        <v>291</v>
      </c>
      <c r="S56" s="37" t="s">
        <v>292</v>
      </c>
      <c r="T56" s="24">
        <v>22</v>
      </c>
      <c r="U56" s="24">
        <v>1000</v>
      </c>
      <c r="V56" s="24">
        <f t="shared" si="3"/>
        <v>22000</v>
      </c>
      <c r="W56" s="24">
        <v>0</v>
      </c>
      <c r="X56" s="18">
        <f t="shared" si="22"/>
        <v>22000</v>
      </c>
      <c r="Y56" s="28">
        <v>8110046112</v>
      </c>
      <c r="Z56" s="14">
        <v>46190</v>
      </c>
      <c r="AA56" s="13" t="s">
        <v>669</v>
      </c>
      <c r="AB56" s="13">
        <v>24.986000000000001</v>
      </c>
      <c r="AC56" s="13" t="s">
        <v>110</v>
      </c>
      <c r="AD56" s="13" t="s">
        <v>110</v>
      </c>
      <c r="AG56" s="13" t="s">
        <v>110</v>
      </c>
      <c r="AH56" s="13" t="s">
        <v>110</v>
      </c>
      <c r="AI56" s="13" t="s">
        <v>110</v>
      </c>
      <c r="AJ56" s="13" t="s">
        <v>110</v>
      </c>
      <c r="AK56" s="13">
        <v>24986</v>
      </c>
      <c r="AL56" s="13" t="s">
        <v>670</v>
      </c>
      <c r="AM56" s="13" t="s">
        <v>246</v>
      </c>
      <c r="AN56" s="16">
        <v>20463</v>
      </c>
      <c r="AO56" s="16" t="s">
        <v>671</v>
      </c>
      <c r="AP56" s="13" t="s">
        <v>115</v>
      </c>
      <c r="AQ56" s="13" t="s">
        <v>116</v>
      </c>
      <c r="AR56" s="13" t="s">
        <v>362</v>
      </c>
      <c r="AS56" s="13">
        <v>72044900</v>
      </c>
      <c r="AT56" s="13" t="s">
        <v>117</v>
      </c>
      <c r="AU56" s="13" t="s">
        <v>672</v>
      </c>
      <c r="AV56" s="13" t="s">
        <v>119</v>
      </c>
      <c r="AW56" s="24">
        <v>800</v>
      </c>
      <c r="AX56" s="13" t="s">
        <v>673</v>
      </c>
      <c r="AY56" s="13">
        <v>9000102140</v>
      </c>
      <c r="AZ56" s="14">
        <v>46233</v>
      </c>
      <c r="BA56" s="45">
        <v>24.986000000000001</v>
      </c>
      <c r="BB56" s="24">
        <v>1000</v>
      </c>
      <c r="BC56" s="24">
        <v>0</v>
      </c>
      <c r="BD56" s="24">
        <v>95.5</v>
      </c>
      <c r="BE56" s="24">
        <f t="shared" si="15"/>
        <v>24986</v>
      </c>
      <c r="BF56" s="18">
        <v>0</v>
      </c>
      <c r="BG56" s="13" t="s">
        <v>110</v>
      </c>
      <c r="BH56" s="20">
        <f t="shared" si="21"/>
        <v>24986</v>
      </c>
      <c r="BI56" s="24">
        <f t="shared" si="5"/>
        <v>2448628</v>
      </c>
      <c r="BJ56" s="18">
        <f t="shared" si="17"/>
        <v>24986</v>
      </c>
      <c r="BK56" s="24">
        <f t="shared" si="6"/>
        <v>2894339.5117000001</v>
      </c>
      <c r="BL56" s="24">
        <f t="shared" si="25"/>
        <v>2386163</v>
      </c>
      <c r="BM56" s="14">
        <v>46251</v>
      </c>
      <c r="BN56" s="24">
        <v>0</v>
      </c>
      <c r="BO56" s="24">
        <v>0</v>
      </c>
      <c r="BP56" s="24">
        <f t="shared" si="19"/>
        <v>0</v>
      </c>
      <c r="BQ56" s="24">
        <f>6886.16+2537.5</f>
        <v>9423.66</v>
      </c>
      <c r="BR56" s="13" t="s">
        <v>122</v>
      </c>
      <c r="BS56" s="13" t="s">
        <v>169</v>
      </c>
      <c r="BT56" s="13" t="s">
        <v>124</v>
      </c>
      <c r="BU56" s="13" t="s">
        <v>222</v>
      </c>
      <c r="BV56" s="13" t="s">
        <v>569</v>
      </c>
      <c r="BW56" s="16" t="s">
        <v>569</v>
      </c>
      <c r="BX56" s="13" t="s">
        <v>124</v>
      </c>
      <c r="BY56" s="13" t="s">
        <v>124</v>
      </c>
      <c r="BZ56" s="24">
        <v>106494.35</v>
      </c>
      <c r="CA56" s="18" t="s">
        <v>130</v>
      </c>
      <c r="CB56" s="22" t="s">
        <v>110</v>
      </c>
      <c r="CC56" s="33" t="s">
        <v>110</v>
      </c>
      <c r="CD56" s="18" t="s">
        <v>110</v>
      </c>
      <c r="CE56" s="24" t="s">
        <v>124</v>
      </c>
      <c r="CF56" s="13" t="s">
        <v>124</v>
      </c>
      <c r="CG56" s="13">
        <v>3112284</v>
      </c>
      <c r="CH56" s="13" t="s">
        <v>100</v>
      </c>
      <c r="CI56" s="24">
        <v>96.05</v>
      </c>
      <c r="CJ56" s="24">
        <f t="shared" si="8"/>
        <v>445711.51169999997</v>
      </c>
      <c r="CK56" s="24">
        <v>24986</v>
      </c>
      <c r="CL56" s="24">
        <f t="shared" si="14"/>
        <v>2399905</v>
      </c>
      <c r="CM56" s="24">
        <v>0</v>
      </c>
      <c r="CN56" s="18">
        <f t="shared" si="9"/>
        <v>2399905</v>
      </c>
      <c r="CO56" s="18">
        <f t="shared" si="23"/>
        <v>431983</v>
      </c>
      <c r="CP56" s="24">
        <v>1065</v>
      </c>
      <c r="CQ56" s="18">
        <f t="shared" si="11"/>
        <v>433048</v>
      </c>
      <c r="CR56" s="52" t="s">
        <v>211</v>
      </c>
      <c r="CS56" s="14">
        <v>46260</v>
      </c>
      <c r="CT56" s="13" t="s">
        <v>110</v>
      </c>
      <c r="CU56" s="13" t="s">
        <v>674</v>
      </c>
      <c r="CV56" s="16" t="s">
        <v>261</v>
      </c>
    </row>
    <row r="57" spans="1:100" s="13" customFormat="1" ht="100.8">
      <c r="A57" s="12" t="s">
        <v>288</v>
      </c>
      <c r="B57" s="13" t="str">
        <f t="shared" si="12"/>
        <v>090984</v>
      </c>
      <c r="C57" s="13" t="s">
        <v>96</v>
      </c>
      <c r="D57" s="13" t="s">
        <v>97</v>
      </c>
      <c r="E57" s="13" t="s">
        <v>675</v>
      </c>
      <c r="F57" s="43">
        <v>46223</v>
      </c>
      <c r="G57" s="43">
        <f t="shared" si="24"/>
        <v>46236</v>
      </c>
      <c r="H57" s="15" t="s">
        <v>99</v>
      </c>
      <c r="I57" s="15" t="s">
        <v>100</v>
      </c>
      <c r="J57" s="15" t="s">
        <v>100</v>
      </c>
      <c r="K57" s="14">
        <v>46214</v>
      </c>
      <c r="L57" s="42">
        <v>1620021297</v>
      </c>
      <c r="M57" s="13">
        <f t="shared" si="13"/>
        <v>4</v>
      </c>
      <c r="N57" s="43">
        <v>46182</v>
      </c>
      <c r="O57" s="30" t="s">
        <v>101</v>
      </c>
      <c r="P57" s="16" t="s">
        <v>102</v>
      </c>
      <c r="Q57" s="39" t="s">
        <v>505</v>
      </c>
      <c r="R57" s="42" t="s">
        <v>506</v>
      </c>
      <c r="S57" s="13" t="s">
        <v>274</v>
      </c>
      <c r="T57" s="24">
        <v>200</v>
      </c>
      <c r="U57" s="24">
        <v>1430</v>
      </c>
      <c r="V57" s="24">
        <f t="shared" si="3"/>
        <v>286000</v>
      </c>
      <c r="W57" s="24">
        <v>0</v>
      </c>
      <c r="X57" s="18">
        <f t="shared" si="22"/>
        <v>286000</v>
      </c>
      <c r="Y57" s="19" t="s">
        <v>676</v>
      </c>
      <c r="Z57" s="14">
        <v>46183</v>
      </c>
      <c r="AA57" s="13" t="s">
        <v>677</v>
      </c>
      <c r="AB57" s="13">
        <v>24.97</v>
      </c>
      <c r="AC57" s="13" t="s">
        <v>678</v>
      </c>
      <c r="AD57" s="13">
        <v>24.72</v>
      </c>
      <c r="AE57" s="13" t="s">
        <v>679</v>
      </c>
      <c r="AF57" s="13">
        <v>24.64</v>
      </c>
      <c r="AG57" s="13" t="s">
        <v>680</v>
      </c>
      <c r="AH57" s="13">
        <v>24.94</v>
      </c>
      <c r="AI57" s="13" t="s">
        <v>110</v>
      </c>
      <c r="AJ57" s="13" t="s">
        <v>110</v>
      </c>
      <c r="AK57" s="13">
        <v>99270</v>
      </c>
      <c r="AL57" s="16" t="s">
        <v>681</v>
      </c>
      <c r="AM57" s="13" t="s">
        <v>112</v>
      </c>
      <c r="AN57" s="16" t="s">
        <v>682</v>
      </c>
      <c r="AO57" s="16" t="s">
        <v>599</v>
      </c>
      <c r="AP57" s="13" t="s">
        <v>115</v>
      </c>
      <c r="AQ57" s="13" t="s">
        <v>116</v>
      </c>
      <c r="AR57" s="13" t="s">
        <v>116</v>
      </c>
      <c r="AS57" s="13">
        <v>72044900</v>
      </c>
      <c r="AT57" s="13" t="s">
        <v>117</v>
      </c>
      <c r="AU57" s="13" t="s">
        <v>683</v>
      </c>
      <c r="AV57" s="13" t="s">
        <v>119</v>
      </c>
      <c r="AW57" s="24">
        <v>800</v>
      </c>
      <c r="AX57" s="13" t="s">
        <v>684</v>
      </c>
      <c r="AY57" s="16" t="s">
        <v>685</v>
      </c>
      <c r="AZ57" s="14">
        <v>46214</v>
      </c>
      <c r="BA57" s="45">
        <v>99.27</v>
      </c>
      <c r="BB57" s="24">
        <v>1430</v>
      </c>
      <c r="BC57" s="24">
        <v>0</v>
      </c>
      <c r="BD57" s="24">
        <v>96.614999999999995</v>
      </c>
      <c r="BE57" s="24">
        <f t="shared" si="15"/>
        <v>141956.1</v>
      </c>
      <c r="BF57" s="18">
        <v>0</v>
      </c>
      <c r="BG57" s="13" t="s">
        <v>110</v>
      </c>
      <c r="BH57" s="20">
        <f t="shared" si="21"/>
        <v>141956.1</v>
      </c>
      <c r="BI57" s="24">
        <f t="shared" si="5"/>
        <v>13911697.800000001</v>
      </c>
      <c r="BJ57" s="18">
        <f t="shared" si="17"/>
        <v>141956.1</v>
      </c>
      <c r="BK57" s="24">
        <f t="shared" si="6"/>
        <v>16443974.592045002</v>
      </c>
      <c r="BL57" s="24">
        <f t="shared" si="25"/>
        <v>13715088.601499999</v>
      </c>
      <c r="BM57" s="14">
        <v>46224</v>
      </c>
      <c r="BN57" s="24">
        <v>0</v>
      </c>
      <c r="BO57" s="24">
        <v>0</v>
      </c>
      <c r="BP57" s="24">
        <f t="shared" si="19"/>
        <v>0</v>
      </c>
      <c r="BQ57" s="24">
        <f>18215.09+4576.72</f>
        <v>22791.81</v>
      </c>
      <c r="BR57" s="13" t="s">
        <v>122</v>
      </c>
      <c r="BS57" s="13" t="s">
        <v>169</v>
      </c>
      <c r="BT57" s="13" t="s">
        <v>124</v>
      </c>
      <c r="BU57" s="13" t="s">
        <v>299</v>
      </c>
      <c r="BV57" s="13" t="s">
        <v>126</v>
      </c>
      <c r="BW57" s="16" t="s">
        <v>127</v>
      </c>
      <c r="BX57" s="13" t="s">
        <v>686</v>
      </c>
      <c r="BY57" s="13" t="s">
        <v>124</v>
      </c>
      <c r="BZ57" s="24">
        <v>114195.39</v>
      </c>
      <c r="CA57" s="18" t="s">
        <v>130</v>
      </c>
      <c r="CB57" s="22" t="s">
        <v>110</v>
      </c>
      <c r="CC57" s="33" t="s">
        <v>110</v>
      </c>
      <c r="CD57" s="18" t="s">
        <v>110</v>
      </c>
      <c r="CE57" s="24" t="s">
        <v>124</v>
      </c>
      <c r="CF57" s="13" t="s">
        <v>124</v>
      </c>
      <c r="CG57" s="13">
        <v>2624027</v>
      </c>
      <c r="CH57" s="13" t="s">
        <v>100</v>
      </c>
      <c r="CI57" s="24">
        <v>97.2</v>
      </c>
      <c r="CJ57" s="24">
        <f t="shared" si="8"/>
        <v>2532276.7920450005</v>
      </c>
      <c r="CK57" s="24">
        <v>141956.1</v>
      </c>
      <c r="CL57" s="24">
        <f t="shared" si="14"/>
        <v>13798133</v>
      </c>
      <c r="CM57" s="24">
        <v>0</v>
      </c>
      <c r="CN57" s="18">
        <f t="shared" si="9"/>
        <v>13798133</v>
      </c>
      <c r="CO57" s="18">
        <f t="shared" si="23"/>
        <v>2483664</v>
      </c>
      <c r="CP57" s="24">
        <v>3062</v>
      </c>
      <c r="CQ57" s="18">
        <f t="shared" si="11"/>
        <v>2486726</v>
      </c>
      <c r="CR57" s="24">
        <f>77000+2400+142750+16290</f>
        <v>238440</v>
      </c>
      <c r="CS57" s="14">
        <v>46229</v>
      </c>
      <c r="CT57" s="13" t="s">
        <v>110</v>
      </c>
      <c r="CU57" s="13" t="s">
        <v>687</v>
      </c>
    </row>
    <row r="58" spans="1:100" s="13" customFormat="1" ht="100.8">
      <c r="A58" s="12" t="s">
        <v>288</v>
      </c>
      <c r="B58" s="13" t="str">
        <f t="shared" si="12"/>
        <v>091053</v>
      </c>
      <c r="C58" s="13" t="s">
        <v>96</v>
      </c>
      <c r="D58" s="13" t="s">
        <v>97</v>
      </c>
      <c r="E58" s="13" t="s">
        <v>688</v>
      </c>
      <c r="F58" s="43">
        <v>46260</v>
      </c>
      <c r="G58" s="43">
        <f t="shared" si="24"/>
        <v>46273</v>
      </c>
      <c r="H58" s="15" t="s">
        <v>99</v>
      </c>
      <c r="I58" s="15" t="s">
        <v>100</v>
      </c>
      <c r="J58" s="15" t="s">
        <v>100</v>
      </c>
      <c r="K58" s="14">
        <v>46214</v>
      </c>
      <c r="L58" s="42">
        <v>1620021297</v>
      </c>
      <c r="M58" s="13">
        <f t="shared" si="13"/>
        <v>4</v>
      </c>
      <c r="N58" s="43">
        <v>46182</v>
      </c>
      <c r="O58" s="30" t="s">
        <v>101</v>
      </c>
      <c r="P58" s="16" t="s">
        <v>102</v>
      </c>
      <c r="Q58" s="39" t="s">
        <v>505</v>
      </c>
      <c r="R58" s="42" t="s">
        <v>506</v>
      </c>
      <c r="S58" s="13" t="s">
        <v>274</v>
      </c>
      <c r="T58" s="24">
        <v>200</v>
      </c>
      <c r="U58" s="24">
        <v>1430</v>
      </c>
      <c r="V58" s="24">
        <f t="shared" si="3"/>
        <v>286000</v>
      </c>
      <c r="W58" s="24">
        <v>0</v>
      </c>
      <c r="X58" s="18">
        <f t="shared" si="22"/>
        <v>286000</v>
      </c>
      <c r="Y58" s="19" t="s">
        <v>689</v>
      </c>
      <c r="Z58" s="14">
        <v>46184</v>
      </c>
      <c r="AA58" s="13" t="s">
        <v>690</v>
      </c>
      <c r="AB58" s="13">
        <v>24.98</v>
      </c>
      <c r="AC58" s="13" t="s">
        <v>691</v>
      </c>
      <c r="AD58" s="13">
        <v>24.98</v>
      </c>
      <c r="AE58" s="13" t="s">
        <v>692</v>
      </c>
      <c r="AF58" s="13">
        <v>24.88</v>
      </c>
      <c r="AG58" s="13" t="s">
        <v>693</v>
      </c>
      <c r="AH58" s="13">
        <v>24.97</v>
      </c>
      <c r="AI58" s="13" t="s">
        <v>110</v>
      </c>
      <c r="AJ58" s="13" t="s">
        <v>110</v>
      </c>
      <c r="AK58" s="13">
        <v>99810</v>
      </c>
      <c r="AL58" s="16" t="s">
        <v>681</v>
      </c>
      <c r="AM58" s="13" t="s">
        <v>112</v>
      </c>
      <c r="AN58" s="16" t="s">
        <v>694</v>
      </c>
      <c r="AO58" s="16" t="s">
        <v>599</v>
      </c>
      <c r="AP58" s="13" t="s">
        <v>115</v>
      </c>
      <c r="AQ58" s="13" t="s">
        <v>116</v>
      </c>
      <c r="AR58" s="13" t="s">
        <v>116</v>
      </c>
      <c r="AS58" s="13">
        <v>72044900</v>
      </c>
      <c r="AT58" s="13" t="s">
        <v>117</v>
      </c>
      <c r="AU58" s="13" t="s">
        <v>695</v>
      </c>
      <c r="AV58" s="13" t="s">
        <v>119</v>
      </c>
      <c r="AW58" s="24">
        <v>800</v>
      </c>
      <c r="AX58" s="13" t="s">
        <v>696</v>
      </c>
      <c r="AY58" s="16" t="s">
        <v>697</v>
      </c>
      <c r="AZ58" s="14">
        <v>46214</v>
      </c>
      <c r="BA58" s="45">
        <v>99.81</v>
      </c>
      <c r="BB58" s="24">
        <v>1430</v>
      </c>
      <c r="BC58" s="24">
        <v>0</v>
      </c>
      <c r="BD58" s="24">
        <v>96.614999999999995</v>
      </c>
      <c r="BE58" s="24">
        <f t="shared" si="15"/>
        <v>142728.30000000002</v>
      </c>
      <c r="BF58" s="18">
        <v>0</v>
      </c>
      <c r="BG58" s="13" t="s">
        <v>110</v>
      </c>
      <c r="BH58" s="20">
        <f t="shared" si="21"/>
        <v>142728.29999999999</v>
      </c>
      <c r="BI58" s="24">
        <f t="shared" si="5"/>
        <v>13987373.399999999</v>
      </c>
      <c r="BJ58" s="18">
        <f t="shared" si="17"/>
        <v>142728.29999999999</v>
      </c>
      <c r="BK58" s="24">
        <f t="shared" si="6"/>
        <v>16533425.043134999</v>
      </c>
      <c r="BL58" s="24">
        <f t="shared" si="25"/>
        <v>13789694.704499999</v>
      </c>
      <c r="BM58" s="14">
        <v>46223</v>
      </c>
      <c r="BN58" s="24">
        <v>0</v>
      </c>
      <c r="BO58" s="24">
        <v>0</v>
      </c>
      <c r="BP58" s="24">
        <f t="shared" si="19"/>
        <v>0</v>
      </c>
      <c r="BQ58" s="24">
        <f>18289.69+8054.74</f>
        <v>26344.43</v>
      </c>
      <c r="BR58" s="13" t="s">
        <v>122</v>
      </c>
      <c r="BS58" s="13" t="s">
        <v>169</v>
      </c>
      <c r="BT58" s="13" t="s">
        <v>124</v>
      </c>
      <c r="BU58" s="13" t="s">
        <v>299</v>
      </c>
      <c r="BV58" s="13" t="s">
        <v>126</v>
      </c>
      <c r="BW58" s="16" t="s">
        <v>127</v>
      </c>
      <c r="BX58" s="13" t="s">
        <v>698</v>
      </c>
      <c r="BY58" s="13" t="s">
        <v>124</v>
      </c>
      <c r="BZ58" s="24">
        <v>113395.8</v>
      </c>
      <c r="CA58" s="18" t="s">
        <v>130</v>
      </c>
      <c r="CB58" s="22" t="s">
        <v>110</v>
      </c>
      <c r="CC58" s="33" t="s">
        <v>110</v>
      </c>
      <c r="CD58" s="18" t="s">
        <v>110</v>
      </c>
      <c r="CE58" s="24" t="s">
        <v>124</v>
      </c>
      <c r="CF58" s="13" t="s">
        <v>124</v>
      </c>
      <c r="CG58" s="13">
        <v>2599524</v>
      </c>
      <c r="CH58" s="13" t="s">
        <v>100</v>
      </c>
      <c r="CI58" s="24">
        <v>97.2</v>
      </c>
      <c r="CJ58" s="24">
        <f t="shared" si="8"/>
        <v>2546051.6431349996</v>
      </c>
      <c r="CK58" s="24">
        <v>142728.29999999999</v>
      </c>
      <c r="CL58" s="24">
        <f t="shared" si="14"/>
        <v>13873191</v>
      </c>
      <c r="CM58" s="24">
        <v>0</v>
      </c>
      <c r="CN58" s="18">
        <f t="shared" si="9"/>
        <v>13873191</v>
      </c>
      <c r="CO58" s="18">
        <f t="shared" si="23"/>
        <v>2497174</v>
      </c>
      <c r="CP58" s="24">
        <v>3079</v>
      </c>
      <c r="CQ58" s="18">
        <f t="shared" si="11"/>
        <v>2500253</v>
      </c>
      <c r="CR58" s="24">
        <f>77000+2700+101716+16380</f>
        <v>197796</v>
      </c>
      <c r="CS58" s="14">
        <v>46232</v>
      </c>
      <c r="CT58" s="13" t="s">
        <v>110</v>
      </c>
      <c r="CU58" s="13" t="s">
        <v>699</v>
      </c>
    </row>
    <row r="59" spans="1:100" s="13" customFormat="1" ht="43.2">
      <c r="A59" s="12" t="s">
        <v>288</v>
      </c>
      <c r="B59" s="13" t="str">
        <f t="shared" si="12"/>
        <v>962627</v>
      </c>
      <c r="C59" s="13" t="s">
        <v>96</v>
      </c>
      <c r="D59" s="13" t="s">
        <v>97</v>
      </c>
      <c r="E59" s="13" t="s">
        <v>700</v>
      </c>
      <c r="F59" s="14">
        <v>46266</v>
      </c>
      <c r="G59" s="14">
        <f t="shared" si="24"/>
        <v>46279</v>
      </c>
      <c r="H59" s="15" t="s">
        <v>99</v>
      </c>
      <c r="I59" s="15" t="s">
        <v>100</v>
      </c>
      <c r="J59" s="15" t="s">
        <v>100</v>
      </c>
      <c r="K59" s="14">
        <v>46247</v>
      </c>
      <c r="L59" s="42">
        <v>1620021299</v>
      </c>
      <c r="M59" s="13">
        <f t="shared" si="13"/>
        <v>2</v>
      </c>
      <c r="N59" s="43">
        <v>46182</v>
      </c>
      <c r="O59" s="30" t="s">
        <v>101</v>
      </c>
      <c r="P59" s="16" t="s">
        <v>102</v>
      </c>
      <c r="Q59" s="17" t="s">
        <v>445</v>
      </c>
      <c r="R59" s="13" t="s">
        <v>701</v>
      </c>
      <c r="S59" s="13" t="s">
        <v>105</v>
      </c>
      <c r="T59" s="24">
        <v>75</v>
      </c>
      <c r="U59" s="24">
        <v>510</v>
      </c>
      <c r="V59" s="24">
        <f t="shared" si="3"/>
        <v>38250</v>
      </c>
      <c r="W59" s="24">
        <v>0</v>
      </c>
      <c r="X59" s="18">
        <f t="shared" si="22"/>
        <v>38250</v>
      </c>
      <c r="Y59" s="19" t="s">
        <v>702</v>
      </c>
      <c r="Z59" s="14">
        <v>46174</v>
      </c>
      <c r="AA59" s="13" t="s">
        <v>703</v>
      </c>
      <c r="AB59" s="13">
        <v>25.57</v>
      </c>
      <c r="AC59" s="13" t="s">
        <v>704</v>
      </c>
      <c r="AD59" s="13">
        <v>24.27</v>
      </c>
      <c r="AE59" s="13" t="s">
        <v>110</v>
      </c>
      <c r="AF59" s="13" t="s">
        <v>110</v>
      </c>
      <c r="AG59" s="13" t="s">
        <v>110</v>
      </c>
      <c r="AH59" s="13" t="s">
        <v>110</v>
      </c>
      <c r="AI59" s="13" t="s">
        <v>110</v>
      </c>
      <c r="AJ59" s="13" t="s">
        <v>110</v>
      </c>
      <c r="AK59" s="13">
        <v>49840</v>
      </c>
      <c r="AL59" s="13" t="s">
        <v>705</v>
      </c>
      <c r="AM59" s="13" t="s">
        <v>112</v>
      </c>
      <c r="AN59" s="16" t="s">
        <v>706</v>
      </c>
      <c r="AO59" s="13" t="s">
        <v>707</v>
      </c>
      <c r="AP59" s="13" t="s">
        <v>115</v>
      </c>
      <c r="AQ59" s="13" t="s">
        <v>116</v>
      </c>
      <c r="AR59" s="13" t="s">
        <v>116</v>
      </c>
      <c r="AS59" s="13">
        <v>72044900</v>
      </c>
      <c r="AT59" s="13" t="s">
        <v>117</v>
      </c>
      <c r="AU59" s="13" t="s">
        <v>708</v>
      </c>
      <c r="AV59" s="13" t="s">
        <v>119</v>
      </c>
      <c r="AW59" s="24">
        <v>800</v>
      </c>
      <c r="AX59" s="13" t="s">
        <v>709</v>
      </c>
      <c r="AY59" s="16" t="s">
        <v>710</v>
      </c>
      <c r="AZ59" s="14">
        <v>46247</v>
      </c>
      <c r="BA59" s="45">
        <v>49.84</v>
      </c>
      <c r="BB59" s="24">
        <v>510</v>
      </c>
      <c r="BC59" s="24">
        <v>0</v>
      </c>
      <c r="BD59" s="24">
        <v>94.72</v>
      </c>
      <c r="BE59" s="24">
        <f t="shared" si="15"/>
        <v>25418.400000000001</v>
      </c>
      <c r="BF59" s="18">
        <v>0</v>
      </c>
      <c r="BG59" s="13" t="s">
        <v>110</v>
      </c>
      <c r="BH59" s="20">
        <f t="shared" si="21"/>
        <v>25418.400000000001</v>
      </c>
      <c r="BI59" s="24">
        <f t="shared" si="5"/>
        <v>2491003.2000000002</v>
      </c>
      <c r="BJ59" s="18">
        <f t="shared" si="17"/>
        <v>25418.400000000001</v>
      </c>
      <c r="BK59" s="24">
        <f t="shared" si="6"/>
        <v>2944428.05748</v>
      </c>
      <c r="BL59" s="24">
        <f>BJ59*BD59</f>
        <v>2407630.8480000002</v>
      </c>
      <c r="BM59" s="14">
        <v>46275</v>
      </c>
      <c r="BN59" s="24">
        <v>0</v>
      </c>
      <c r="BO59" s="24">
        <v>0</v>
      </c>
      <c r="BP59" s="24">
        <f t="shared" si="19"/>
        <v>0</v>
      </c>
      <c r="BQ59" s="24">
        <f>6907.63+2541.38</f>
        <v>9449.01</v>
      </c>
      <c r="BR59" s="13" t="s">
        <v>122</v>
      </c>
      <c r="BS59" s="13" t="s">
        <v>169</v>
      </c>
      <c r="BT59" s="13" t="s">
        <v>124</v>
      </c>
      <c r="BU59" s="13" t="s">
        <v>125</v>
      </c>
      <c r="BV59" s="13" t="s">
        <v>258</v>
      </c>
      <c r="BW59" s="16" t="s">
        <v>127</v>
      </c>
      <c r="BX59" s="13" t="s">
        <v>711</v>
      </c>
      <c r="BY59" s="13" t="s">
        <v>124</v>
      </c>
      <c r="BZ59" s="24">
        <f>66670-10170</f>
        <v>56500</v>
      </c>
      <c r="CA59" s="18" t="s">
        <v>130</v>
      </c>
      <c r="CB59" s="22" t="s">
        <v>110</v>
      </c>
      <c r="CC59" s="33" t="s">
        <v>110</v>
      </c>
      <c r="CD59" s="18" t="s">
        <v>110</v>
      </c>
      <c r="CE59" s="24" t="s">
        <v>124</v>
      </c>
      <c r="CF59" s="13" t="s">
        <v>124</v>
      </c>
      <c r="CG59" s="13">
        <v>3314928</v>
      </c>
      <c r="CH59" s="13" t="s">
        <v>172</v>
      </c>
      <c r="CI59" s="24">
        <v>96.5</v>
      </c>
      <c r="CJ59" s="24">
        <f t="shared" si="8"/>
        <v>453424.85748000001</v>
      </c>
      <c r="CK59" s="24">
        <v>25418.400000000001</v>
      </c>
      <c r="CL59" s="24">
        <f t="shared" si="14"/>
        <v>2452876</v>
      </c>
      <c r="CM59" s="24">
        <v>0</v>
      </c>
      <c r="CN59" s="18">
        <f t="shared" si="9"/>
        <v>2452876</v>
      </c>
      <c r="CO59" s="18">
        <f t="shared" si="23"/>
        <v>441518</v>
      </c>
      <c r="CP59" s="24">
        <v>0</v>
      </c>
      <c r="CQ59" s="18">
        <f t="shared" si="11"/>
        <v>441518</v>
      </c>
      <c r="CR59" s="24"/>
      <c r="CS59" s="14">
        <v>46282</v>
      </c>
      <c r="CT59" s="13" t="s">
        <v>110</v>
      </c>
      <c r="CU59" s="13" t="s">
        <v>712</v>
      </c>
      <c r="CV59" s="16" t="s">
        <v>261</v>
      </c>
    </row>
    <row r="60" spans="1:100" s="13" customFormat="1" ht="43.2">
      <c r="A60" s="12" t="s">
        <v>288</v>
      </c>
      <c r="B60" s="13" t="str">
        <f t="shared" si="12"/>
        <v>091662</v>
      </c>
      <c r="C60" s="13" t="s">
        <v>96</v>
      </c>
      <c r="D60" s="13" t="s">
        <v>97</v>
      </c>
      <c r="E60" s="13" t="s">
        <v>713</v>
      </c>
      <c r="F60" s="14">
        <v>46264</v>
      </c>
      <c r="G60" s="14">
        <v>47368</v>
      </c>
      <c r="H60" s="15" t="s">
        <v>99</v>
      </c>
      <c r="I60" s="15" t="s">
        <v>100</v>
      </c>
      <c r="J60" s="15" t="s">
        <v>100</v>
      </c>
      <c r="K60" s="14">
        <v>46253</v>
      </c>
      <c r="L60" s="42">
        <v>1620021324</v>
      </c>
      <c r="M60" s="13">
        <f t="shared" si="13"/>
        <v>1</v>
      </c>
      <c r="N60" s="43">
        <v>46189</v>
      </c>
      <c r="O60" s="30" t="s">
        <v>101</v>
      </c>
      <c r="P60" s="16" t="s">
        <v>102</v>
      </c>
      <c r="Q60" s="39" t="s">
        <v>547</v>
      </c>
      <c r="R60" s="42" t="s">
        <v>548</v>
      </c>
      <c r="S60" s="13" t="s">
        <v>549</v>
      </c>
      <c r="T60" s="24">
        <v>25</v>
      </c>
      <c r="U60" s="24">
        <v>3025</v>
      </c>
      <c r="V60" s="24">
        <f t="shared" si="3"/>
        <v>75625</v>
      </c>
      <c r="W60" s="24">
        <v>0</v>
      </c>
      <c r="X60" s="18">
        <f t="shared" si="22"/>
        <v>75625</v>
      </c>
      <c r="Y60" s="28">
        <v>8110046201</v>
      </c>
      <c r="Z60" s="14">
        <v>46191</v>
      </c>
      <c r="AA60" s="13" t="s">
        <v>714</v>
      </c>
      <c r="AB60" s="13">
        <v>24.51</v>
      </c>
      <c r="AC60" s="13" t="s">
        <v>110</v>
      </c>
      <c r="AD60" s="13" t="s">
        <v>110</v>
      </c>
      <c r="AE60" s="13" t="s">
        <v>110</v>
      </c>
      <c r="AF60" s="13" t="s">
        <v>110</v>
      </c>
      <c r="AG60" s="13" t="s">
        <v>110</v>
      </c>
      <c r="AH60" s="13" t="s">
        <v>110</v>
      </c>
      <c r="AI60" s="13" t="s">
        <v>110</v>
      </c>
      <c r="AJ60" s="13" t="s">
        <v>110</v>
      </c>
      <c r="AK60" s="13">
        <v>24510</v>
      </c>
      <c r="AL60" s="13" t="s">
        <v>715</v>
      </c>
      <c r="AM60" s="13" t="s">
        <v>112</v>
      </c>
      <c r="AN60" s="16">
        <v>20470</v>
      </c>
      <c r="AO60" s="16" t="s">
        <v>716</v>
      </c>
      <c r="AP60" s="13" t="s">
        <v>115</v>
      </c>
      <c r="AQ60" s="13" t="s">
        <v>116</v>
      </c>
      <c r="AR60" s="13" t="s">
        <v>116</v>
      </c>
      <c r="AS60" s="13">
        <v>72044900</v>
      </c>
      <c r="AT60" s="13" t="s">
        <v>117</v>
      </c>
      <c r="AU60" s="13" t="s">
        <v>117</v>
      </c>
      <c r="AV60" s="13" t="s">
        <v>119</v>
      </c>
      <c r="AW60" s="24">
        <v>800</v>
      </c>
      <c r="AX60" s="13" t="s">
        <v>717</v>
      </c>
      <c r="AY60" s="13">
        <v>9000102364</v>
      </c>
      <c r="AZ60" s="14">
        <v>46253</v>
      </c>
      <c r="BA60" s="45">
        <v>24.51</v>
      </c>
      <c r="BB60" s="24">
        <v>3025</v>
      </c>
      <c r="BC60" s="24">
        <v>0</v>
      </c>
      <c r="BD60" s="24">
        <v>95.05</v>
      </c>
      <c r="BE60" s="24">
        <f t="shared" si="15"/>
        <v>74142.75</v>
      </c>
      <c r="BF60" s="18">
        <v>0</v>
      </c>
      <c r="BG60" s="13" t="s">
        <v>110</v>
      </c>
      <c r="BH60" s="20">
        <f t="shared" si="21"/>
        <v>74142.75</v>
      </c>
      <c r="BI60" s="24">
        <f t="shared" si="5"/>
        <v>7265989.5</v>
      </c>
      <c r="BJ60" s="18">
        <f t="shared" si="17"/>
        <v>74142.75</v>
      </c>
      <c r="BK60" s="24">
        <f t="shared" si="6"/>
        <v>8588581.2387374993</v>
      </c>
      <c r="BL60" s="24">
        <f t="shared" si="25"/>
        <v>7047268.3875000002</v>
      </c>
      <c r="BM60" s="14">
        <v>46269</v>
      </c>
      <c r="BN60" s="24">
        <v>0</v>
      </c>
      <c r="BO60" s="24">
        <v>0</v>
      </c>
      <c r="BP60" s="24">
        <f t="shared" si="19"/>
        <v>0</v>
      </c>
      <c r="BQ60" s="24">
        <f>11547.27+3376.5</f>
        <v>14923.77</v>
      </c>
      <c r="BR60" s="13" t="s">
        <v>122</v>
      </c>
      <c r="BS60" s="13" t="s">
        <v>169</v>
      </c>
      <c r="BT60" s="13" t="s">
        <v>124</v>
      </c>
      <c r="BU60" s="13" t="s">
        <v>299</v>
      </c>
      <c r="BV60" s="13" t="s">
        <v>258</v>
      </c>
      <c r="BW60" s="16" t="s">
        <v>127</v>
      </c>
      <c r="BX60" s="13" t="s">
        <v>718</v>
      </c>
      <c r="BY60" s="13" t="s">
        <v>124</v>
      </c>
      <c r="BZ60" s="24">
        <v>32148.95</v>
      </c>
      <c r="CA60" s="18" t="s">
        <v>130</v>
      </c>
      <c r="CB60" s="22" t="s">
        <v>110</v>
      </c>
      <c r="CC60" s="33" t="s">
        <v>110</v>
      </c>
      <c r="CD60" s="18" t="s">
        <v>110</v>
      </c>
      <c r="CE60" s="24" t="s">
        <v>124</v>
      </c>
      <c r="CF60" s="13" t="s">
        <v>124</v>
      </c>
      <c r="CG60" s="13">
        <v>3423727</v>
      </c>
      <c r="CH60" s="13" t="s">
        <v>172</v>
      </c>
      <c r="CI60" s="24">
        <v>96.5</v>
      </c>
      <c r="CJ60" s="24">
        <f t="shared" si="8"/>
        <v>1322591.7387375</v>
      </c>
      <c r="CK60" s="24">
        <v>74142.75</v>
      </c>
      <c r="CL60" s="24">
        <f t="shared" si="14"/>
        <v>7154775</v>
      </c>
      <c r="CM60" s="24">
        <v>0</v>
      </c>
      <c r="CN60" s="18">
        <f t="shared" si="9"/>
        <v>7154775</v>
      </c>
      <c r="CO60" s="18">
        <f t="shared" si="23"/>
        <v>1287860</v>
      </c>
      <c r="CP60" s="24">
        <v>0</v>
      </c>
      <c r="CQ60" s="18">
        <f t="shared" si="11"/>
        <v>1287860</v>
      </c>
      <c r="CR60" s="24"/>
      <c r="CS60" s="14">
        <v>46274</v>
      </c>
      <c r="CT60" s="13" t="s">
        <v>110</v>
      </c>
      <c r="CU60" s="13" t="s">
        <v>719</v>
      </c>
      <c r="CV60" s="16" t="s">
        <v>261</v>
      </c>
    </row>
    <row r="61" spans="1:100" s="13" customFormat="1" ht="43.2">
      <c r="A61" s="12" t="s">
        <v>288</v>
      </c>
      <c r="B61" s="13" t="str">
        <f t="shared" si="12"/>
        <v>217918</v>
      </c>
      <c r="C61" s="13" t="s">
        <v>96</v>
      </c>
      <c r="D61" s="13" t="s">
        <v>97</v>
      </c>
      <c r="E61" s="13">
        <v>272217918</v>
      </c>
      <c r="F61" s="43">
        <v>46249</v>
      </c>
      <c r="G61" s="43">
        <f t="shared" ref="G61:G75" si="26">F61+13</f>
        <v>46262</v>
      </c>
      <c r="H61" s="15" t="s">
        <v>99</v>
      </c>
      <c r="I61" s="15" t="s">
        <v>100</v>
      </c>
      <c r="J61" s="15" t="s">
        <v>100</v>
      </c>
      <c r="K61" s="14">
        <v>46244</v>
      </c>
      <c r="L61" s="42">
        <v>16200212350</v>
      </c>
      <c r="M61" s="13">
        <f t="shared" si="13"/>
        <v>1</v>
      </c>
      <c r="N61" s="43">
        <v>46194</v>
      </c>
      <c r="O61" s="30" t="s">
        <v>101</v>
      </c>
      <c r="P61" s="16" t="s">
        <v>102</v>
      </c>
      <c r="Q61" s="39" t="s">
        <v>564</v>
      </c>
      <c r="R61" s="13" t="s">
        <v>291</v>
      </c>
      <c r="S61" s="37" t="s">
        <v>292</v>
      </c>
      <c r="T61" s="24">
        <v>22</v>
      </c>
      <c r="U61" s="24">
        <v>1000</v>
      </c>
      <c r="V61" s="24">
        <f t="shared" si="3"/>
        <v>22000</v>
      </c>
      <c r="W61" s="24">
        <v>0</v>
      </c>
      <c r="X61" s="18">
        <f t="shared" si="22"/>
        <v>22000</v>
      </c>
      <c r="Y61" s="28">
        <v>8110046261</v>
      </c>
      <c r="Z61" s="14">
        <v>46197</v>
      </c>
      <c r="AA61" s="13" t="s">
        <v>720</v>
      </c>
      <c r="AB61" s="13">
        <v>25.14</v>
      </c>
      <c r="AC61" s="13" t="s">
        <v>110</v>
      </c>
      <c r="AD61" s="13" t="s">
        <v>110</v>
      </c>
      <c r="AE61" s="13" t="s">
        <v>110</v>
      </c>
      <c r="AF61" s="13" t="s">
        <v>110</v>
      </c>
      <c r="AG61" s="13" t="s">
        <v>110</v>
      </c>
      <c r="AH61" s="13" t="s">
        <v>110</v>
      </c>
      <c r="AI61" s="13" t="s">
        <v>110</v>
      </c>
      <c r="AJ61" s="13" t="s">
        <v>110</v>
      </c>
      <c r="AK61" s="13">
        <v>25220</v>
      </c>
      <c r="AL61" s="13" t="s">
        <v>294</v>
      </c>
      <c r="AM61" s="13" t="s">
        <v>246</v>
      </c>
      <c r="AN61" s="16">
        <v>20434</v>
      </c>
      <c r="AO61" s="16" t="s">
        <v>671</v>
      </c>
      <c r="AP61" s="13" t="s">
        <v>115</v>
      </c>
      <c r="AQ61" s="13" t="s">
        <v>116</v>
      </c>
      <c r="AR61" s="13" t="s">
        <v>362</v>
      </c>
      <c r="AS61" s="13">
        <v>72044900</v>
      </c>
      <c r="AT61" s="13" t="s">
        <v>117</v>
      </c>
      <c r="AU61" s="13" t="s">
        <v>721</v>
      </c>
      <c r="AV61" s="13" t="s">
        <v>119</v>
      </c>
      <c r="AW61" s="24">
        <v>800</v>
      </c>
      <c r="AX61" s="13" t="s">
        <v>722</v>
      </c>
      <c r="AY61" s="13">
        <v>9000102320</v>
      </c>
      <c r="AZ61" s="14">
        <v>46233</v>
      </c>
      <c r="BA61" s="45">
        <v>25.14</v>
      </c>
      <c r="BB61" s="24">
        <v>1000</v>
      </c>
      <c r="BC61" s="24">
        <v>0</v>
      </c>
      <c r="BD61" s="24">
        <v>95.5</v>
      </c>
      <c r="BE61" s="24">
        <f t="shared" si="15"/>
        <v>25140</v>
      </c>
      <c r="BF61" s="18">
        <v>0</v>
      </c>
      <c r="BG61" s="13" t="s">
        <v>110</v>
      </c>
      <c r="BH61" s="20">
        <f t="shared" si="21"/>
        <v>25140</v>
      </c>
      <c r="BI61" s="24">
        <f t="shared" si="5"/>
        <v>2463720</v>
      </c>
      <c r="BJ61" s="18">
        <f t="shared" si="17"/>
        <v>25140</v>
      </c>
      <c r="BK61" s="24">
        <f t="shared" si="6"/>
        <v>2913605.7089999998</v>
      </c>
      <c r="BL61" s="24">
        <f t="shared" si="25"/>
        <v>2400870</v>
      </c>
      <c r="BM61" s="14">
        <v>46251</v>
      </c>
      <c r="BN61" s="24">
        <v>0</v>
      </c>
      <c r="BO61" s="24">
        <v>0</v>
      </c>
      <c r="BP61" s="24">
        <f t="shared" si="19"/>
        <v>0</v>
      </c>
      <c r="BQ61" s="24">
        <f>6900.87+2540.16</f>
        <v>9441.0299999999988</v>
      </c>
      <c r="BR61" s="13" t="s">
        <v>122</v>
      </c>
      <c r="BS61" s="13" t="s">
        <v>169</v>
      </c>
      <c r="BT61" s="13" t="s">
        <v>124</v>
      </c>
      <c r="BU61" s="13" t="s">
        <v>222</v>
      </c>
      <c r="BV61" s="13" t="s">
        <v>569</v>
      </c>
      <c r="BW61" s="16" t="s">
        <v>569</v>
      </c>
      <c r="BX61" s="13" t="s">
        <v>124</v>
      </c>
      <c r="BY61" s="13" t="s">
        <v>124</v>
      </c>
      <c r="BZ61" s="24">
        <v>106494.35</v>
      </c>
      <c r="CA61" s="18" t="s">
        <v>130</v>
      </c>
      <c r="CB61" s="22" t="s">
        <v>110</v>
      </c>
      <c r="CC61" s="33" t="s">
        <v>110</v>
      </c>
      <c r="CD61" s="18" t="s">
        <v>110</v>
      </c>
      <c r="CE61" s="24" t="s">
        <v>124</v>
      </c>
      <c r="CF61" s="13" t="s">
        <v>124</v>
      </c>
      <c r="CG61" s="13">
        <v>3112322</v>
      </c>
      <c r="CH61" s="13" t="s">
        <v>100</v>
      </c>
      <c r="CI61" s="24">
        <v>96.05</v>
      </c>
      <c r="CJ61" s="24">
        <f t="shared" si="8"/>
        <v>449885.70899999997</v>
      </c>
      <c r="CK61" s="24">
        <v>25140</v>
      </c>
      <c r="CL61" s="24">
        <f t="shared" si="14"/>
        <v>2414697</v>
      </c>
      <c r="CM61" s="24">
        <v>0</v>
      </c>
      <c r="CN61" s="18">
        <f t="shared" si="9"/>
        <v>2414697</v>
      </c>
      <c r="CO61" s="18">
        <f t="shared" si="23"/>
        <v>434645</v>
      </c>
      <c r="CP61" s="24">
        <v>1072</v>
      </c>
      <c r="CQ61" s="18">
        <f t="shared" si="11"/>
        <v>435717</v>
      </c>
      <c r="CR61" s="24"/>
      <c r="CS61" s="14">
        <v>46254</v>
      </c>
      <c r="CT61" s="13" t="s">
        <v>110</v>
      </c>
      <c r="CU61" s="13" t="s">
        <v>723</v>
      </c>
      <c r="CV61" s="16" t="s">
        <v>261</v>
      </c>
    </row>
    <row r="62" spans="1:100" s="13" customFormat="1" ht="43.2">
      <c r="A62" s="12" t="s">
        <v>288</v>
      </c>
      <c r="B62" s="13" t="str">
        <f t="shared" si="12"/>
        <v>217501</v>
      </c>
      <c r="C62" s="13" t="s">
        <v>96</v>
      </c>
      <c r="D62" s="13" t="s">
        <v>97</v>
      </c>
      <c r="E62" s="13">
        <v>272217501</v>
      </c>
      <c r="F62" s="43">
        <v>46246</v>
      </c>
      <c r="G62" s="43">
        <f t="shared" si="26"/>
        <v>46259</v>
      </c>
      <c r="H62" s="15" t="s">
        <v>99</v>
      </c>
      <c r="I62" s="15" t="s">
        <v>100</v>
      </c>
      <c r="J62" s="15" t="s">
        <v>100</v>
      </c>
      <c r="K62" s="43">
        <v>46236</v>
      </c>
      <c r="L62" s="42">
        <v>16200212355</v>
      </c>
      <c r="M62" s="13">
        <f t="shared" si="13"/>
        <v>1</v>
      </c>
      <c r="N62" s="43">
        <v>46195</v>
      </c>
      <c r="O62" s="30" t="s">
        <v>101</v>
      </c>
      <c r="P62" s="16" t="s">
        <v>102</v>
      </c>
      <c r="Q62" s="39" t="s">
        <v>724</v>
      </c>
      <c r="R62" s="42" t="s">
        <v>725</v>
      </c>
      <c r="S62" s="13" t="s">
        <v>274</v>
      </c>
      <c r="T62" s="24">
        <v>125</v>
      </c>
      <c r="U62" s="24">
        <v>1470</v>
      </c>
      <c r="V62" s="24">
        <f t="shared" si="3"/>
        <v>183750</v>
      </c>
      <c r="W62" s="24">
        <v>0</v>
      </c>
      <c r="X62" s="18">
        <f t="shared" si="22"/>
        <v>183750</v>
      </c>
      <c r="Y62" s="19" t="s">
        <v>726</v>
      </c>
      <c r="Z62" s="14">
        <v>46202</v>
      </c>
      <c r="AA62" s="13" t="s">
        <v>727</v>
      </c>
      <c r="AB62" s="13">
        <v>25.27</v>
      </c>
      <c r="AC62" s="13" t="s">
        <v>728</v>
      </c>
      <c r="AD62" s="13">
        <v>25.55</v>
      </c>
      <c r="AE62" s="13" t="s">
        <v>110</v>
      </c>
      <c r="AF62" s="13" t="s">
        <v>110</v>
      </c>
      <c r="AG62" s="13" t="s">
        <v>110</v>
      </c>
      <c r="AH62" s="13" t="s">
        <v>110</v>
      </c>
      <c r="AI62" s="13" t="s">
        <v>110</v>
      </c>
      <c r="AJ62" s="13" t="s">
        <v>110</v>
      </c>
      <c r="AK62" s="13">
        <v>25270</v>
      </c>
      <c r="AL62" s="16" t="s">
        <v>729</v>
      </c>
      <c r="AM62" s="13" t="s">
        <v>112</v>
      </c>
      <c r="AN62" s="16" t="s">
        <v>730</v>
      </c>
      <c r="AO62" s="13" t="s">
        <v>731</v>
      </c>
      <c r="AP62" s="13" t="s">
        <v>115</v>
      </c>
      <c r="AQ62" s="13" t="s">
        <v>116</v>
      </c>
      <c r="AR62" s="13" t="s">
        <v>116</v>
      </c>
      <c r="AS62" s="13">
        <v>72044900</v>
      </c>
      <c r="AT62" s="13" t="s">
        <v>117</v>
      </c>
      <c r="AU62" s="13" t="s">
        <v>732</v>
      </c>
      <c r="AV62" s="13" t="s">
        <v>119</v>
      </c>
      <c r="AW62" s="24">
        <v>800</v>
      </c>
      <c r="AX62" s="13" t="s">
        <v>733</v>
      </c>
      <c r="AY62" s="16" t="s">
        <v>734</v>
      </c>
      <c r="AZ62" s="14">
        <v>46226</v>
      </c>
      <c r="BA62" s="45">
        <f>25.27+25.55</f>
        <v>50.82</v>
      </c>
      <c r="BB62" s="24">
        <v>1470</v>
      </c>
      <c r="BC62" s="24">
        <v>0</v>
      </c>
      <c r="BD62" s="24">
        <f>((50000*95.5)+(24705.4*95.5475))/74705.4</f>
        <v>95.515708456149099</v>
      </c>
      <c r="BE62" s="24">
        <f t="shared" si="15"/>
        <v>74705.399999999994</v>
      </c>
      <c r="BF62" s="18">
        <v>0</v>
      </c>
      <c r="BG62" s="13" t="s">
        <v>110</v>
      </c>
      <c r="BH62" s="20">
        <f t="shared" si="21"/>
        <v>74705.399999999994</v>
      </c>
      <c r="BI62" s="24">
        <f t="shared" si="5"/>
        <v>7321129.1999999993</v>
      </c>
      <c r="BJ62" s="18">
        <f t="shared" si="17"/>
        <v>74705.399999999994</v>
      </c>
      <c r="BK62" s="24">
        <f t="shared" si="6"/>
        <v>7983772.3183049988</v>
      </c>
      <c r="BL62" s="24">
        <f t="shared" si="25"/>
        <v>7135539.2065000003</v>
      </c>
      <c r="BM62" s="14">
        <v>46247</v>
      </c>
      <c r="BN62" s="24">
        <v>0</v>
      </c>
      <c r="BO62" s="24">
        <v>0</v>
      </c>
      <c r="BP62" s="24">
        <f t="shared" si="19"/>
        <v>0</v>
      </c>
      <c r="BQ62" s="24">
        <f>11635.54+3392.4</f>
        <v>15027.94</v>
      </c>
      <c r="BR62" s="13" t="s">
        <v>122</v>
      </c>
      <c r="BS62" s="13" t="s">
        <v>169</v>
      </c>
      <c r="BT62" s="13" t="s">
        <v>124</v>
      </c>
      <c r="BU62" s="13" t="s">
        <v>222</v>
      </c>
      <c r="BV62" s="13" t="s">
        <v>126</v>
      </c>
      <c r="BW62" s="16" t="s">
        <v>127</v>
      </c>
      <c r="BX62" s="13" t="s">
        <v>735</v>
      </c>
      <c r="BY62" s="13" t="s">
        <v>124</v>
      </c>
      <c r="BZ62" s="24">
        <f>685.88+37110</f>
        <v>37795.879999999997</v>
      </c>
      <c r="CA62" s="18" t="s">
        <v>130</v>
      </c>
      <c r="CB62" s="22" t="s">
        <v>110</v>
      </c>
      <c r="CC62" s="33" t="s">
        <v>110</v>
      </c>
      <c r="CD62" s="18" t="s">
        <v>110</v>
      </c>
      <c r="CE62" s="24" t="s">
        <v>124</v>
      </c>
      <c r="CF62" s="13" t="s">
        <v>124</v>
      </c>
      <c r="CG62" s="13">
        <v>3078179</v>
      </c>
      <c r="CH62" s="13" t="s">
        <v>100</v>
      </c>
      <c r="CI62" s="24">
        <v>96.05</v>
      </c>
      <c r="CJ62" s="24">
        <f t="shared" si="8"/>
        <v>662643.11830500001</v>
      </c>
      <c r="CK62" s="24">
        <v>74705.399999999994</v>
      </c>
      <c r="CL62" s="24">
        <f t="shared" si="14"/>
        <v>7175454</v>
      </c>
      <c r="CM62" s="24">
        <v>0</v>
      </c>
      <c r="CN62" s="18">
        <f t="shared" si="9"/>
        <v>7175454</v>
      </c>
      <c r="CO62" s="18">
        <f t="shared" si="23"/>
        <v>1291582</v>
      </c>
      <c r="CP62" s="24">
        <v>3185</v>
      </c>
      <c r="CQ62" s="18">
        <f t="shared" si="11"/>
        <v>1294767</v>
      </c>
      <c r="CR62" s="24">
        <f>13000+13000+2250+2250+700+700+17000+23000+1500+1600+2000+8470</f>
        <v>85470</v>
      </c>
      <c r="CS62" s="14">
        <v>46253</v>
      </c>
      <c r="CT62" s="13" t="s">
        <v>110</v>
      </c>
      <c r="CU62" s="13" t="s">
        <v>736</v>
      </c>
    </row>
    <row r="63" spans="1:100" s="13" customFormat="1" ht="43.2">
      <c r="A63" s="12" t="s">
        <v>288</v>
      </c>
      <c r="B63" s="13" t="str">
        <f t="shared" si="12"/>
        <v>217017</v>
      </c>
      <c r="C63" s="13" t="s">
        <v>96</v>
      </c>
      <c r="D63" s="13" t="s">
        <v>97</v>
      </c>
      <c r="E63" s="13">
        <v>272217017</v>
      </c>
      <c r="F63" s="43">
        <v>46244</v>
      </c>
      <c r="G63" s="43">
        <f t="shared" si="26"/>
        <v>46257</v>
      </c>
      <c r="H63" s="15" t="s">
        <v>99</v>
      </c>
      <c r="I63" s="15" t="s">
        <v>100</v>
      </c>
      <c r="J63" s="15" t="s">
        <v>100</v>
      </c>
      <c r="K63" s="43">
        <v>46230</v>
      </c>
      <c r="L63" s="42">
        <v>16200212355</v>
      </c>
      <c r="M63" s="13">
        <f t="shared" si="13"/>
        <v>1</v>
      </c>
      <c r="N63" s="43">
        <v>46195</v>
      </c>
      <c r="O63" s="30" t="s">
        <v>101</v>
      </c>
      <c r="P63" s="16" t="s">
        <v>102</v>
      </c>
      <c r="Q63" s="39" t="s">
        <v>724</v>
      </c>
      <c r="R63" s="42" t="s">
        <v>725</v>
      </c>
      <c r="S63" s="13" t="s">
        <v>274</v>
      </c>
      <c r="T63" s="24">
        <v>125</v>
      </c>
      <c r="U63" s="24">
        <v>1470</v>
      </c>
      <c r="V63" s="24">
        <f t="shared" si="3"/>
        <v>183750</v>
      </c>
      <c r="W63" s="24">
        <v>0</v>
      </c>
      <c r="X63" s="18">
        <f t="shared" si="22"/>
        <v>183750</v>
      </c>
      <c r="Y63" s="19">
        <v>8110046349</v>
      </c>
      <c r="Z63" s="14">
        <v>46202</v>
      </c>
      <c r="AA63" s="13" t="s">
        <v>737</v>
      </c>
      <c r="AB63" s="45">
        <v>25.51</v>
      </c>
      <c r="AC63" s="13" t="s">
        <v>110</v>
      </c>
      <c r="AD63" s="13" t="s">
        <v>110</v>
      </c>
      <c r="AE63" s="13" t="s">
        <v>110</v>
      </c>
      <c r="AF63" s="13" t="s">
        <v>110</v>
      </c>
      <c r="AG63" s="13" t="s">
        <v>110</v>
      </c>
      <c r="AH63" s="13" t="s">
        <v>110</v>
      </c>
      <c r="AI63" s="13" t="s">
        <v>110</v>
      </c>
      <c r="AJ63" s="13" t="s">
        <v>110</v>
      </c>
      <c r="AK63" s="13">
        <v>25510</v>
      </c>
      <c r="AL63" s="16" t="s">
        <v>729</v>
      </c>
      <c r="AM63" s="13" t="s">
        <v>112</v>
      </c>
      <c r="AN63" s="16">
        <v>20499</v>
      </c>
      <c r="AO63" s="16" t="s">
        <v>671</v>
      </c>
      <c r="AP63" s="13" t="s">
        <v>115</v>
      </c>
      <c r="AQ63" s="13" t="s">
        <v>116</v>
      </c>
      <c r="AR63" s="13" t="s">
        <v>116</v>
      </c>
      <c r="AS63" s="13">
        <v>72044900</v>
      </c>
      <c r="AT63" s="13" t="s">
        <v>117</v>
      </c>
      <c r="AU63" s="13" t="s">
        <v>738</v>
      </c>
      <c r="AV63" s="13" t="s">
        <v>119</v>
      </c>
      <c r="AW63" s="24">
        <v>800</v>
      </c>
      <c r="AX63" s="13" t="s">
        <v>739</v>
      </c>
      <c r="AY63" s="13">
        <v>9000102778</v>
      </c>
      <c r="AZ63" s="14">
        <v>46233</v>
      </c>
      <c r="BA63" s="45">
        <v>25.51</v>
      </c>
      <c r="BB63" s="24">
        <v>1470</v>
      </c>
      <c r="BC63" s="24">
        <v>0</v>
      </c>
      <c r="BD63" s="24">
        <v>95.497500000000002</v>
      </c>
      <c r="BE63" s="24">
        <f t="shared" si="15"/>
        <v>37499.700000000004</v>
      </c>
      <c r="BF63" s="18">
        <v>0</v>
      </c>
      <c r="BG63" s="13" t="s">
        <v>110</v>
      </c>
      <c r="BH63" s="20">
        <f t="shared" si="21"/>
        <v>37499.699999999997</v>
      </c>
      <c r="BI63" s="24">
        <f t="shared" si="5"/>
        <v>3674970.5999999996</v>
      </c>
      <c r="BJ63" s="18">
        <f t="shared" si="17"/>
        <v>37499.699999999997</v>
      </c>
      <c r="BK63" s="24">
        <f t="shared" si="6"/>
        <v>4343907.1234649997</v>
      </c>
      <c r="BL63" s="24">
        <f t="shared" si="25"/>
        <v>3581127.6007499998</v>
      </c>
      <c r="BM63" s="14">
        <v>46245</v>
      </c>
      <c r="BN63" s="24">
        <v>0</v>
      </c>
      <c r="BO63" s="24">
        <v>0</v>
      </c>
      <c r="BP63" s="24">
        <f t="shared" si="19"/>
        <v>0</v>
      </c>
      <c r="BQ63" s="24">
        <f>8081.13+2752.6</f>
        <v>10833.73</v>
      </c>
      <c r="BR63" s="13" t="s">
        <v>122</v>
      </c>
      <c r="BS63" s="13" t="s">
        <v>169</v>
      </c>
      <c r="BT63" s="13" t="s">
        <v>124</v>
      </c>
      <c r="BU63" s="13" t="s">
        <v>222</v>
      </c>
      <c r="BV63" s="13" t="s">
        <v>354</v>
      </c>
      <c r="BW63" s="16" t="s">
        <v>355</v>
      </c>
      <c r="BX63" s="13">
        <v>250</v>
      </c>
      <c r="BY63" s="13" t="s">
        <v>124</v>
      </c>
      <c r="BZ63" s="24">
        <v>21910</v>
      </c>
      <c r="CA63" s="18" t="s">
        <v>130</v>
      </c>
      <c r="CB63" s="22" t="s">
        <v>110</v>
      </c>
      <c r="CC63" s="33" t="s">
        <v>110</v>
      </c>
      <c r="CD63" s="18" t="s">
        <v>110</v>
      </c>
      <c r="CE63" s="24" t="s">
        <v>124</v>
      </c>
      <c r="CF63" s="13" t="s">
        <v>124</v>
      </c>
      <c r="CG63" s="13">
        <v>3023940</v>
      </c>
      <c r="CH63" s="13" t="s">
        <v>100</v>
      </c>
      <c r="CI63" s="24">
        <v>96.05</v>
      </c>
      <c r="CJ63" s="24">
        <f t="shared" si="8"/>
        <v>668936.52346499998</v>
      </c>
      <c r="CK63" s="24">
        <v>37499.699999999997</v>
      </c>
      <c r="CL63" s="24">
        <f t="shared" si="14"/>
        <v>3601846</v>
      </c>
      <c r="CM63" s="24">
        <v>0</v>
      </c>
      <c r="CN63" s="18">
        <f t="shared" si="9"/>
        <v>3601846</v>
      </c>
      <c r="CO63" s="18">
        <f t="shared" si="23"/>
        <v>648332</v>
      </c>
      <c r="CP63" s="24">
        <v>799</v>
      </c>
      <c r="CQ63" s="18">
        <f t="shared" si="11"/>
        <v>649131</v>
      </c>
      <c r="CR63" s="24">
        <f>14500+11100+8000+177+4260+2655+800</f>
        <v>41492</v>
      </c>
      <c r="CS63" s="14">
        <v>46248</v>
      </c>
      <c r="CT63" s="13" t="s">
        <v>110</v>
      </c>
      <c r="CU63" s="13" t="s">
        <v>740</v>
      </c>
    </row>
    <row r="64" spans="1:100" s="13" customFormat="1" ht="43.2">
      <c r="A64" s="12" t="s">
        <v>288</v>
      </c>
      <c r="B64" s="13" t="str">
        <f t="shared" si="12"/>
        <v>217411</v>
      </c>
      <c r="C64" s="13" t="s">
        <v>571</v>
      </c>
      <c r="D64" s="13" t="s">
        <v>97</v>
      </c>
      <c r="E64" s="13">
        <v>272217411</v>
      </c>
      <c r="F64" s="43">
        <v>46292</v>
      </c>
      <c r="G64" s="43">
        <f t="shared" si="26"/>
        <v>46305</v>
      </c>
      <c r="H64" s="15" t="s">
        <v>99</v>
      </c>
      <c r="I64" s="15" t="s">
        <v>172</v>
      </c>
      <c r="J64" s="15" t="s">
        <v>172</v>
      </c>
      <c r="K64" s="43"/>
      <c r="L64" s="42">
        <v>16200212355</v>
      </c>
      <c r="M64" s="13">
        <f t="shared" si="13"/>
        <v>1</v>
      </c>
      <c r="N64" s="43">
        <v>46195</v>
      </c>
      <c r="O64" s="30" t="s">
        <v>101</v>
      </c>
      <c r="P64" s="16" t="s">
        <v>102</v>
      </c>
      <c r="Q64" s="39" t="s">
        <v>724</v>
      </c>
      <c r="R64" s="42" t="s">
        <v>725</v>
      </c>
      <c r="S64" s="13" t="s">
        <v>274</v>
      </c>
      <c r="T64" s="24">
        <v>125</v>
      </c>
      <c r="U64" s="24">
        <v>1470</v>
      </c>
      <c r="V64" s="24">
        <f t="shared" si="3"/>
        <v>183750</v>
      </c>
      <c r="W64" s="24">
        <v>0</v>
      </c>
      <c r="X64" s="18">
        <f t="shared" si="22"/>
        <v>183750</v>
      </c>
      <c r="Y64" s="19">
        <v>8110046351</v>
      </c>
      <c r="Z64" s="14">
        <v>46202</v>
      </c>
      <c r="AA64" s="13" t="s">
        <v>741</v>
      </c>
      <c r="AB64" s="13">
        <v>25.49</v>
      </c>
      <c r="AC64" s="13" t="s">
        <v>110</v>
      </c>
      <c r="AD64" s="13" t="s">
        <v>110</v>
      </c>
      <c r="AE64" s="13" t="s">
        <v>110</v>
      </c>
      <c r="AF64" s="13" t="s">
        <v>110</v>
      </c>
      <c r="AG64" s="13" t="s">
        <v>110</v>
      </c>
      <c r="AH64" s="13" t="s">
        <v>110</v>
      </c>
      <c r="AI64" s="13" t="s">
        <v>110</v>
      </c>
      <c r="AJ64" s="13" t="s">
        <v>110</v>
      </c>
      <c r="AK64" s="13">
        <v>25490</v>
      </c>
      <c r="AL64" s="16" t="s">
        <v>729</v>
      </c>
      <c r="AM64" s="13" t="s">
        <v>112</v>
      </c>
      <c r="AN64" s="16">
        <v>20498</v>
      </c>
      <c r="AO64" s="13" t="s">
        <v>742</v>
      </c>
      <c r="AP64" s="13" t="s">
        <v>115</v>
      </c>
      <c r="AQ64" s="13" t="s">
        <v>116</v>
      </c>
      <c r="AR64" s="13" t="s">
        <v>116</v>
      </c>
      <c r="AS64" s="13">
        <v>72044900</v>
      </c>
      <c r="AT64" s="13" t="s">
        <v>117</v>
      </c>
      <c r="AV64" s="16" t="s">
        <v>119</v>
      </c>
      <c r="AW64" s="24">
        <v>800</v>
      </c>
      <c r="AX64" s="13" t="s">
        <v>743</v>
      </c>
      <c r="BA64" s="45">
        <v>25.49</v>
      </c>
      <c r="BB64" s="24">
        <v>1470</v>
      </c>
      <c r="BC64" s="24">
        <v>0</v>
      </c>
      <c r="BD64" s="24">
        <v>0</v>
      </c>
      <c r="BE64" s="24">
        <f t="shared" si="15"/>
        <v>37470.299999999996</v>
      </c>
      <c r="BF64" s="18">
        <v>0</v>
      </c>
      <c r="BG64" s="13" t="s">
        <v>110</v>
      </c>
      <c r="BH64" s="20">
        <f t="shared" si="21"/>
        <v>37470.300000000003</v>
      </c>
      <c r="BI64" s="24">
        <f t="shared" si="5"/>
        <v>3672089.4000000004</v>
      </c>
      <c r="BJ64" s="18">
        <f t="shared" si="17"/>
        <v>37470.300000000003</v>
      </c>
      <c r="BK64" s="24">
        <f t="shared" si="6"/>
        <v>4340501.4730350003</v>
      </c>
      <c r="BL64" s="24">
        <f t="shared" si="25"/>
        <v>0</v>
      </c>
      <c r="BN64" s="24">
        <v>0</v>
      </c>
      <c r="BO64" s="24">
        <v>0</v>
      </c>
      <c r="BP64" s="24">
        <f t="shared" si="19"/>
        <v>0</v>
      </c>
      <c r="BQ64" s="24"/>
      <c r="BR64" s="13" t="s">
        <v>581</v>
      </c>
      <c r="BS64" s="13" t="s">
        <v>169</v>
      </c>
      <c r="BT64" s="13" t="s">
        <v>124</v>
      </c>
      <c r="BU64" s="13" t="s">
        <v>222</v>
      </c>
      <c r="BV64" s="13" t="s">
        <v>258</v>
      </c>
      <c r="BW64" s="16" t="s">
        <v>127</v>
      </c>
      <c r="BX64" s="13" t="s">
        <v>744</v>
      </c>
      <c r="BY64" s="13" t="s">
        <v>124</v>
      </c>
      <c r="BZ64" s="24"/>
      <c r="CA64" s="24"/>
      <c r="CB64" s="22" t="s">
        <v>110</v>
      </c>
      <c r="CC64" s="33" t="s">
        <v>110</v>
      </c>
      <c r="CD64" s="18" t="s">
        <v>110</v>
      </c>
      <c r="CE64" s="24" t="s">
        <v>124</v>
      </c>
      <c r="CF64" s="13" t="s">
        <v>124</v>
      </c>
      <c r="CH64" s="13" t="s">
        <v>172</v>
      </c>
      <c r="CI64" s="24"/>
      <c r="CJ64" s="24">
        <f t="shared" si="8"/>
        <v>668412.07303500001</v>
      </c>
      <c r="CK64" s="24"/>
      <c r="CL64" s="24">
        <f t="shared" si="14"/>
        <v>0</v>
      </c>
      <c r="CM64" s="24">
        <v>0</v>
      </c>
      <c r="CN64" s="18">
        <f t="shared" si="9"/>
        <v>0</v>
      </c>
      <c r="CO64" s="18">
        <f t="shared" si="23"/>
        <v>0</v>
      </c>
      <c r="CP64" s="24">
        <v>0</v>
      </c>
      <c r="CQ64" s="18">
        <f t="shared" si="11"/>
        <v>0</v>
      </c>
      <c r="CR64" s="24"/>
      <c r="CT64" s="13" t="s">
        <v>110</v>
      </c>
    </row>
    <row r="65" spans="1:100" s="13" customFormat="1" ht="43.2">
      <c r="A65" s="12" t="s">
        <v>288</v>
      </c>
      <c r="B65" s="13">
        <v>160904</v>
      </c>
      <c r="C65" s="13" t="s">
        <v>571</v>
      </c>
      <c r="D65" s="13" t="s">
        <v>97</v>
      </c>
      <c r="E65" s="13" t="s">
        <v>745</v>
      </c>
      <c r="F65" s="43">
        <v>46288</v>
      </c>
      <c r="G65" s="43">
        <f t="shared" si="26"/>
        <v>46301</v>
      </c>
      <c r="H65" s="15" t="s">
        <v>99</v>
      </c>
      <c r="I65" s="15" t="s">
        <v>172</v>
      </c>
      <c r="J65" s="15" t="s">
        <v>172</v>
      </c>
      <c r="K65" s="43">
        <v>46254</v>
      </c>
      <c r="L65" s="42">
        <v>16200212355</v>
      </c>
      <c r="M65" s="13">
        <f t="shared" si="13"/>
        <v>1</v>
      </c>
      <c r="N65" s="43">
        <v>46195</v>
      </c>
      <c r="O65" s="30" t="s">
        <v>101</v>
      </c>
      <c r="P65" s="16" t="s">
        <v>102</v>
      </c>
      <c r="Q65" s="39" t="s">
        <v>724</v>
      </c>
      <c r="R65" s="42" t="s">
        <v>725</v>
      </c>
      <c r="S65" s="13" t="s">
        <v>274</v>
      </c>
      <c r="T65" s="24">
        <v>125</v>
      </c>
      <c r="U65" s="24">
        <v>1470</v>
      </c>
      <c r="V65" s="24">
        <f t="shared" si="3"/>
        <v>183750</v>
      </c>
      <c r="W65" s="24">
        <v>0</v>
      </c>
      <c r="X65" s="18">
        <f t="shared" si="22"/>
        <v>183750</v>
      </c>
      <c r="Y65" s="19">
        <v>8110046552</v>
      </c>
      <c r="Z65" s="14">
        <v>46216</v>
      </c>
      <c r="AA65" s="13" t="s">
        <v>746</v>
      </c>
      <c r="AB65" s="13">
        <v>25.61</v>
      </c>
      <c r="AK65" s="13">
        <v>25610</v>
      </c>
      <c r="AL65" s="16" t="s">
        <v>747</v>
      </c>
      <c r="AM65" s="13" t="s">
        <v>112</v>
      </c>
      <c r="AN65" s="16">
        <v>20330</v>
      </c>
      <c r="AO65" s="13" t="s">
        <v>748</v>
      </c>
      <c r="AP65" s="13" t="s">
        <v>115</v>
      </c>
      <c r="AQ65" s="13" t="s">
        <v>116</v>
      </c>
      <c r="AR65" s="13" t="s">
        <v>116</v>
      </c>
      <c r="AS65" s="13">
        <v>72044900</v>
      </c>
      <c r="AT65" s="13" t="s">
        <v>117</v>
      </c>
      <c r="AV65" s="16" t="s">
        <v>119</v>
      </c>
      <c r="AW65" s="24">
        <v>800</v>
      </c>
      <c r="AX65" s="13" t="s">
        <v>749</v>
      </c>
      <c r="AY65" s="13">
        <v>9000103528</v>
      </c>
      <c r="AZ65" s="14">
        <v>46254</v>
      </c>
      <c r="BA65" s="45">
        <v>25.61</v>
      </c>
      <c r="BB65" s="24">
        <v>1470</v>
      </c>
      <c r="BC65" s="24"/>
      <c r="BD65" s="24"/>
      <c r="BE65" s="24">
        <f t="shared" si="15"/>
        <v>37646.699999999997</v>
      </c>
      <c r="BF65" s="18"/>
      <c r="BH65" s="20">
        <f t="shared" si="21"/>
        <v>37646.699999999997</v>
      </c>
      <c r="BI65" s="24">
        <f t="shared" si="5"/>
        <v>3689376.5999999996</v>
      </c>
      <c r="BJ65" s="18">
        <f t="shared" si="17"/>
        <v>37646.699999999997</v>
      </c>
      <c r="BK65" s="24">
        <f t="shared" si="6"/>
        <v>4360935.3756149998</v>
      </c>
      <c r="BL65" s="24"/>
      <c r="BN65" s="24"/>
      <c r="BO65" s="24"/>
      <c r="BP65" s="24"/>
      <c r="BQ65" s="24"/>
      <c r="BR65" s="13" t="s">
        <v>581</v>
      </c>
      <c r="BS65" s="13" t="s">
        <v>169</v>
      </c>
      <c r="BT65" s="13" t="s">
        <v>124</v>
      </c>
      <c r="BU65" s="16" t="s">
        <v>750</v>
      </c>
      <c r="BV65" s="16" t="s">
        <v>258</v>
      </c>
      <c r="BW65" s="16" t="s">
        <v>127</v>
      </c>
      <c r="BX65" s="13" t="s">
        <v>751</v>
      </c>
      <c r="BY65" s="13" t="s">
        <v>124</v>
      </c>
      <c r="BZ65" s="24"/>
      <c r="CA65" s="24"/>
      <c r="CB65" s="22"/>
      <c r="CC65" s="33"/>
      <c r="CD65" s="18"/>
      <c r="CE65" s="24" t="s">
        <v>124</v>
      </c>
      <c r="CF65" s="13" t="s">
        <v>124</v>
      </c>
      <c r="CH65" s="13" t="s">
        <v>172</v>
      </c>
      <c r="CI65" s="24"/>
      <c r="CJ65" s="24">
        <f t="shared" si="8"/>
        <v>671558.77561499982</v>
      </c>
      <c r="CK65" s="24"/>
      <c r="CL65" s="24"/>
      <c r="CM65" s="24"/>
      <c r="CN65" s="18"/>
      <c r="CO65" s="18"/>
      <c r="CP65" s="24"/>
      <c r="CQ65" s="18"/>
      <c r="CR65" s="24"/>
    </row>
    <row r="66" spans="1:100" s="13" customFormat="1" ht="43.2">
      <c r="A66" s="12" t="s">
        <v>288</v>
      </c>
      <c r="B66" s="13" t="str">
        <f t="shared" si="12"/>
        <v>006568</v>
      </c>
      <c r="C66" s="13" t="s">
        <v>96</v>
      </c>
      <c r="D66" s="13" t="s">
        <v>97</v>
      </c>
      <c r="E66" s="13">
        <v>272006568</v>
      </c>
      <c r="F66" s="43">
        <v>46246</v>
      </c>
      <c r="G66" s="43">
        <f t="shared" si="26"/>
        <v>46259</v>
      </c>
      <c r="H66" s="15" t="s">
        <v>99</v>
      </c>
      <c r="I66" s="15" t="s">
        <v>100</v>
      </c>
      <c r="J66" s="15" t="s">
        <v>100</v>
      </c>
      <c r="K66" s="43">
        <v>46231</v>
      </c>
      <c r="L66" s="42">
        <v>1620021351</v>
      </c>
      <c r="M66" s="13">
        <f t="shared" si="13"/>
        <v>1</v>
      </c>
      <c r="N66" s="43">
        <v>46194</v>
      </c>
      <c r="O66" s="30" t="s">
        <v>101</v>
      </c>
      <c r="P66" s="16" t="s">
        <v>102</v>
      </c>
      <c r="Q66" s="39" t="s">
        <v>547</v>
      </c>
      <c r="R66" s="42" t="s">
        <v>548</v>
      </c>
      <c r="S66" s="13" t="s">
        <v>549</v>
      </c>
      <c r="T66" s="24">
        <v>25</v>
      </c>
      <c r="U66" s="24">
        <v>3025</v>
      </c>
      <c r="V66" s="24">
        <f t="shared" si="3"/>
        <v>75625</v>
      </c>
      <c r="W66" s="24">
        <v>0</v>
      </c>
      <c r="X66" s="18">
        <f t="shared" si="22"/>
        <v>75625</v>
      </c>
      <c r="Y66" s="28">
        <v>8110046262</v>
      </c>
      <c r="Z66" s="14">
        <v>46200</v>
      </c>
      <c r="AA66" s="13" t="s">
        <v>752</v>
      </c>
      <c r="AB66" s="13">
        <v>24.74</v>
      </c>
      <c r="AC66" s="13" t="s">
        <v>110</v>
      </c>
      <c r="AD66" s="13" t="s">
        <v>110</v>
      </c>
      <c r="AE66" s="13" t="s">
        <v>110</v>
      </c>
      <c r="AF66" s="13" t="s">
        <v>110</v>
      </c>
      <c r="AG66" s="13" t="s">
        <v>110</v>
      </c>
      <c r="AH66" s="13" t="s">
        <v>110</v>
      </c>
      <c r="AI66" s="13" t="s">
        <v>110</v>
      </c>
      <c r="AJ66" s="13" t="s">
        <v>110</v>
      </c>
      <c r="AK66" s="13">
        <v>24740</v>
      </c>
      <c r="AL66" s="13" t="s">
        <v>715</v>
      </c>
      <c r="AM66" s="13" t="s">
        <v>112</v>
      </c>
      <c r="AN66" s="16">
        <v>20495</v>
      </c>
      <c r="AO66" s="13" t="s">
        <v>731</v>
      </c>
      <c r="AP66" s="13" t="s">
        <v>115</v>
      </c>
      <c r="AQ66" s="13" t="s">
        <v>116</v>
      </c>
      <c r="AR66" s="13" t="s">
        <v>116</v>
      </c>
      <c r="AS66" s="13">
        <v>72044900</v>
      </c>
      <c r="AT66" s="13" t="s">
        <v>117</v>
      </c>
      <c r="AU66" s="13" t="s">
        <v>753</v>
      </c>
      <c r="AV66" s="13" t="s">
        <v>119</v>
      </c>
      <c r="AW66" s="24">
        <v>800</v>
      </c>
      <c r="AX66" s="13" t="s">
        <v>754</v>
      </c>
      <c r="AY66" s="13">
        <v>9000102321</v>
      </c>
      <c r="AZ66" s="14">
        <v>46226</v>
      </c>
      <c r="BA66" s="45">
        <v>24.74</v>
      </c>
      <c r="BB66" s="24">
        <v>3025</v>
      </c>
      <c r="BC66" s="24">
        <v>0</v>
      </c>
      <c r="BD66" s="24">
        <v>95.547499999999999</v>
      </c>
      <c r="BE66" s="24">
        <f t="shared" si="15"/>
        <v>74838.5</v>
      </c>
      <c r="BF66" s="18">
        <v>0</v>
      </c>
      <c r="BG66" s="13" t="s">
        <v>110</v>
      </c>
      <c r="BH66" s="20">
        <f t="shared" si="21"/>
        <v>74838.5</v>
      </c>
      <c r="BI66" s="24">
        <f t="shared" si="5"/>
        <v>7334173</v>
      </c>
      <c r="BJ66" s="18">
        <f t="shared" si="17"/>
        <v>74838.5</v>
      </c>
      <c r="BK66" s="24">
        <f t="shared" si="6"/>
        <v>8669175.8403249998</v>
      </c>
      <c r="BL66" s="24">
        <f t="shared" si="25"/>
        <v>7150631.5787500003</v>
      </c>
      <c r="BM66" s="14">
        <v>46247</v>
      </c>
      <c r="BN66" s="24">
        <v>0</v>
      </c>
      <c r="BO66" s="24">
        <v>0</v>
      </c>
      <c r="BP66" s="24">
        <f t="shared" si="19"/>
        <v>0</v>
      </c>
      <c r="BQ66" s="24">
        <f>11650.63+3395.12</f>
        <v>15045.75</v>
      </c>
      <c r="BR66" s="13" t="s">
        <v>122</v>
      </c>
      <c r="BS66" s="13" t="s">
        <v>169</v>
      </c>
      <c r="BT66" s="13" t="s">
        <v>124</v>
      </c>
      <c r="BU66" s="13" t="s">
        <v>222</v>
      </c>
      <c r="BV66" s="13" t="s">
        <v>258</v>
      </c>
      <c r="BW66" s="16" t="s">
        <v>127</v>
      </c>
      <c r="BX66" s="13" t="s">
        <v>755</v>
      </c>
      <c r="BY66" s="13" t="s">
        <v>124</v>
      </c>
      <c r="BZ66" s="24">
        <f>3000+6710+12200</f>
        <v>21910</v>
      </c>
      <c r="CA66" s="18" t="s">
        <v>130</v>
      </c>
      <c r="CB66" s="22" t="s">
        <v>110</v>
      </c>
      <c r="CC66" s="33" t="s">
        <v>110</v>
      </c>
      <c r="CD66" s="18" t="s">
        <v>110</v>
      </c>
      <c r="CE66" s="24" t="s">
        <v>124</v>
      </c>
      <c r="CF66" s="13" t="s">
        <v>124</v>
      </c>
      <c r="CG66" s="13">
        <v>3069967</v>
      </c>
      <c r="CH66" s="13" t="s">
        <v>100</v>
      </c>
      <c r="CI66" s="24">
        <v>96.05</v>
      </c>
      <c r="CJ66" s="24">
        <f t="shared" si="8"/>
        <v>1335002.840325</v>
      </c>
      <c r="CK66" s="24">
        <v>74838.5</v>
      </c>
      <c r="CL66" s="24">
        <f>ROUND(CK66*CI66,0)</f>
        <v>7188238</v>
      </c>
      <c r="CM66" s="24">
        <v>0</v>
      </c>
      <c r="CN66" s="18">
        <f t="shared" si="9"/>
        <v>7188238</v>
      </c>
      <c r="CO66" s="18">
        <f t="shared" si="23"/>
        <v>1293883</v>
      </c>
      <c r="CP66" s="24">
        <v>3190</v>
      </c>
      <c r="CQ66" s="18">
        <f t="shared" si="11"/>
        <v>1297073</v>
      </c>
      <c r="CR66" s="24">
        <f>13000+2250+700+8500+11500+750+3100+800+2000+10000</f>
        <v>52600</v>
      </c>
      <c r="CS66" s="14">
        <v>46255</v>
      </c>
      <c r="CT66" s="13" t="s">
        <v>110</v>
      </c>
      <c r="CU66" s="13" t="s">
        <v>756</v>
      </c>
    </row>
    <row r="67" spans="1:100" s="13" customFormat="1" ht="43.2">
      <c r="A67" s="12" t="s">
        <v>288</v>
      </c>
      <c r="B67" s="13" t="str">
        <f t="shared" si="12"/>
        <v>156505</v>
      </c>
      <c r="C67" s="13" t="s">
        <v>571</v>
      </c>
      <c r="D67" s="13" t="s">
        <v>97</v>
      </c>
      <c r="E67" s="13" t="s">
        <v>757</v>
      </c>
      <c r="F67" s="14">
        <v>46288</v>
      </c>
      <c r="G67" s="43">
        <f t="shared" si="26"/>
        <v>46301</v>
      </c>
      <c r="H67" s="15" t="s">
        <v>99</v>
      </c>
      <c r="I67" s="15" t="s">
        <v>172</v>
      </c>
      <c r="J67" s="15" t="s">
        <v>172</v>
      </c>
      <c r="K67" s="14">
        <v>46254</v>
      </c>
      <c r="L67" s="42">
        <v>1620021365</v>
      </c>
      <c r="M67" s="13">
        <f t="shared" si="13"/>
        <v>1</v>
      </c>
      <c r="N67" s="43">
        <v>46197</v>
      </c>
      <c r="O67" s="30" t="s">
        <v>101</v>
      </c>
      <c r="P67" s="16" t="s">
        <v>102</v>
      </c>
      <c r="Q67" s="39" t="s">
        <v>632</v>
      </c>
      <c r="R67" s="42" t="s">
        <v>758</v>
      </c>
      <c r="S67" s="13" t="s">
        <v>634</v>
      </c>
      <c r="T67" s="24">
        <v>400</v>
      </c>
      <c r="U67" s="24">
        <v>765</v>
      </c>
      <c r="V67" s="24">
        <f t="shared" si="3"/>
        <v>306000</v>
      </c>
      <c r="W67" s="24">
        <v>0</v>
      </c>
      <c r="X67" s="18">
        <f t="shared" si="22"/>
        <v>306000</v>
      </c>
      <c r="Y67" s="28">
        <v>8110046430</v>
      </c>
      <c r="Z67" s="14">
        <v>46208</v>
      </c>
      <c r="AA67" s="13" t="s">
        <v>759</v>
      </c>
      <c r="AB67" s="13">
        <v>25.14</v>
      </c>
      <c r="AC67" s="13" t="s">
        <v>110</v>
      </c>
      <c r="AD67" s="13" t="s">
        <v>110</v>
      </c>
      <c r="AE67" s="13" t="s">
        <v>110</v>
      </c>
      <c r="AF67" s="13" t="s">
        <v>110</v>
      </c>
      <c r="AG67" s="13" t="s">
        <v>110</v>
      </c>
      <c r="AH67" s="13" t="s">
        <v>110</v>
      </c>
      <c r="AI67" s="13" t="s">
        <v>110</v>
      </c>
      <c r="AJ67" s="13" t="s">
        <v>110</v>
      </c>
      <c r="AK67" s="13">
        <v>25140</v>
      </c>
      <c r="AL67" s="13" t="s">
        <v>760</v>
      </c>
      <c r="AM67" s="13" t="s">
        <v>112</v>
      </c>
      <c r="AN67" s="16">
        <v>20370</v>
      </c>
      <c r="AO67" s="13" t="s">
        <v>748</v>
      </c>
      <c r="AP67" s="13" t="s">
        <v>115</v>
      </c>
      <c r="AQ67" s="13" t="s">
        <v>116</v>
      </c>
      <c r="AR67" s="13" t="s">
        <v>116</v>
      </c>
      <c r="AS67" s="13">
        <v>72044900</v>
      </c>
      <c r="AT67" s="13" t="s">
        <v>117</v>
      </c>
      <c r="AU67" s="13" t="s">
        <v>761</v>
      </c>
      <c r="AV67" s="16" t="s">
        <v>119</v>
      </c>
      <c r="AW67" s="24">
        <v>1600</v>
      </c>
      <c r="AX67" s="16" t="s">
        <v>762</v>
      </c>
      <c r="AY67" s="13">
        <v>9000102542</v>
      </c>
      <c r="AZ67" s="14">
        <v>46254</v>
      </c>
      <c r="BA67" s="45">
        <v>25.14</v>
      </c>
      <c r="BB67" s="24">
        <v>765</v>
      </c>
      <c r="BC67" s="24">
        <v>0</v>
      </c>
      <c r="BD67" s="24">
        <v>0</v>
      </c>
      <c r="BE67" s="24">
        <f t="shared" si="15"/>
        <v>19232.100000000002</v>
      </c>
      <c r="BF67" s="18">
        <v>0</v>
      </c>
      <c r="BG67" s="13" t="s">
        <v>110</v>
      </c>
      <c r="BH67" s="20">
        <f t="shared" si="21"/>
        <v>19232.099999999999</v>
      </c>
      <c r="BI67" s="24">
        <f t="shared" si="5"/>
        <v>1884745.7999999998</v>
      </c>
      <c r="BJ67" s="18">
        <f t="shared" si="17"/>
        <v>19232.099999999999</v>
      </c>
      <c r="BK67" s="24">
        <f t="shared" si="6"/>
        <v>2227816.6542449999</v>
      </c>
      <c r="BL67" s="24">
        <f t="shared" si="25"/>
        <v>0</v>
      </c>
      <c r="BN67" s="24">
        <v>0</v>
      </c>
      <c r="BO67" s="24">
        <v>0</v>
      </c>
      <c r="BP67" s="24">
        <f t="shared" si="19"/>
        <v>0</v>
      </c>
      <c r="BQ67" s="24"/>
      <c r="BR67" s="13" t="s">
        <v>581</v>
      </c>
      <c r="BS67" s="13" t="s">
        <v>169</v>
      </c>
      <c r="BT67" s="13" t="s">
        <v>124</v>
      </c>
      <c r="BU67" s="16" t="s">
        <v>750</v>
      </c>
      <c r="BV67" s="16" t="s">
        <v>258</v>
      </c>
      <c r="BW67" s="16" t="s">
        <v>127</v>
      </c>
      <c r="BX67" s="13" t="s">
        <v>763</v>
      </c>
      <c r="BY67" s="13" t="s">
        <v>124</v>
      </c>
      <c r="BZ67" s="24"/>
      <c r="CA67" s="24"/>
      <c r="CB67" s="22" t="s">
        <v>110</v>
      </c>
      <c r="CC67" s="33" t="s">
        <v>110</v>
      </c>
      <c r="CD67" s="18" t="s">
        <v>110</v>
      </c>
      <c r="CE67" s="24" t="s">
        <v>124</v>
      </c>
      <c r="CF67" s="13" t="s">
        <v>124</v>
      </c>
      <c r="CH67" s="13" t="s">
        <v>172</v>
      </c>
      <c r="CI67" s="24"/>
      <c r="CJ67" s="24">
        <f t="shared" si="8"/>
        <v>343070.85424499994</v>
      </c>
      <c r="CK67" s="24"/>
      <c r="CM67" s="24">
        <v>0</v>
      </c>
      <c r="CN67" s="18">
        <f t="shared" si="9"/>
        <v>0</v>
      </c>
      <c r="CO67" s="18">
        <f t="shared" si="23"/>
        <v>0</v>
      </c>
      <c r="CP67" s="24">
        <v>0</v>
      </c>
      <c r="CQ67" s="18">
        <f t="shared" si="11"/>
        <v>0</v>
      </c>
      <c r="CR67" s="24"/>
      <c r="CT67" s="13" t="s">
        <v>110</v>
      </c>
    </row>
    <row r="68" spans="1:100" s="13" customFormat="1" ht="43.2">
      <c r="A68" s="12" t="s">
        <v>288</v>
      </c>
      <c r="B68" s="13" t="str">
        <f t="shared" si="12"/>
        <v>120848</v>
      </c>
      <c r="C68" s="13" t="s">
        <v>96</v>
      </c>
      <c r="D68" s="13" t="s">
        <v>97</v>
      </c>
      <c r="E68" s="13">
        <v>272120848</v>
      </c>
      <c r="F68" s="43">
        <v>46246</v>
      </c>
      <c r="G68" s="43">
        <f t="shared" si="26"/>
        <v>46259</v>
      </c>
      <c r="H68" s="15" t="s">
        <v>99</v>
      </c>
      <c r="I68" s="15" t="s">
        <v>100</v>
      </c>
      <c r="J68" s="15" t="s">
        <v>100</v>
      </c>
      <c r="K68" s="43">
        <v>46231</v>
      </c>
      <c r="L68" s="42">
        <v>1620021365</v>
      </c>
      <c r="M68" s="13">
        <f t="shared" si="13"/>
        <v>1</v>
      </c>
      <c r="N68" s="43">
        <v>46197</v>
      </c>
      <c r="O68" s="30" t="s">
        <v>101</v>
      </c>
      <c r="P68" s="16" t="s">
        <v>102</v>
      </c>
      <c r="Q68" s="39" t="s">
        <v>632</v>
      </c>
      <c r="R68" s="42" t="s">
        <v>758</v>
      </c>
      <c r="S68" s="13" t="s">
        <v>634</v>
      </c>
      <c r="T68" s="24">
        <v>400</v>
      </c>
      <c r="U68" s="24">
        <v>765</v>
      </c>
      <c r="V68" s="24">
        <f t="shared" si="3"/>
        <v>306000</v>
      </c>
      <c r="W68" s="24">
        <v>0</v>
      </c>
      <c r="X68" s="18">
        <f t="shared" si="22"/>
        <v>306000</v>
      </c>
      <c r="Y68" s="19">
        <v>8110046291</v>
      </c>
      <c r="Z68" s="14">
        <v>46199</v>
      </c>
      <c r="AA68" s="13" t="s">
        <v>764</v>
      </c>
      <c r="AB68" s="13">
        <v>23.58</v>
      </c>
      <c r="AC68" s="13" t="s">
        <v>110</v>
      </c>
      <c r="AD68" s="13" t="s">
        <v>110</v>
      </c>
      <c r="AE68" s="13" t="s">
        <v>110</v>
      </c>
      <c r="AF68" s="13" t="s">
        <v>110</v>
      </c>
      <c r="AG68" s="13" t="s">
        <v>110</v>
      </c>
      <c r="AH68" s="13" t="s">
        <v>110</v>
      </c>
      <c r="AI68" s="13" t="s">
        <v>110</v>
      </c>
      <c r="AJ68" s="13" t="s">
        <v>110</v>
      </c>
      <c r="AK68" s="13">
        <v>23580</v>
      </c>
      <c r="AL68" s="13" t="s">
        <v>760</v>
      </c>
      <c r="AM68" s="13" t="s">
        <v>112</v>
      </c>
      <c r="AN68" s="16">
        <v>20408</v>
      </c>
      <c r="AO68" s="13" t="s">
        <v>731</v>
      </c>
      <c r="AP68" s="13" t="s">
        <v>115</v>
      </c>
      <c r="AQ68" s="13" t="s">
        <v>116</v>
      </c>
      <c r="AR68" s="13" t="s">
        <v>116</v>
      </c>
      <c r="AS68" s="13">
        <v>72044900</v>
      </c>
      <c r="AT68" s="13" t="s">
        <v>117</v>
      </c>
      <c r="AU68" s="13" t="s">
        <v>765</v>
      </c>
      <c r="AV68" s="13" t="s">
        <v>119</v>
      </c>
      <c r="AW68" s="24">
        <v>800</v>
      </c>
      <c r="AX68" s="13" t="s">
        <v>766</v>
      </c>
      <c r="AY68" s="13">
        <v>9000102315</v>
      </c>
      <c r="AZ68" s="14">
        <v>46226</v>
      </c>
      <c r="BA68" s="45">
        <v>23.58</v>
      </c>
      <c r="BB68" s="24">
        <v>765</v>
      </c>
      <c r="BC68" s="24">
        <v>0</v>
      </c>
      <c r="BD68" s="24">
        <v>95.547499999999999</v>
      </c>
      <c r="BE68" s="24">
        <f t="shared" si="15"/>
        <v>18038.699999999997</v>
      </c>
      <c r="BF68" s="18">
        <v>0</v>
      </c>
      <c r="BG68" s="13" t="s">
        <v>110</v>
      </c>
      <c r="BH68" s="20">
        <f t="shared" si="21"/>
        <v>18038.7</v>
      </c>
      <c r="BI68" s="24">
        <f t="shared" si="5"/>
        <v>1767792.6</v>
      </c>
      <c r="BJ68" s="18">
        <f t="shared" si="17"/>
        <v>18038.7</v>
      </c>
      <c r="BK68" s="24">
        <f t="shared" si="6"/>
        <v>2089575.0480150001</v>
      </c>
      <c r="BL68" s="24">
        <f t="shared" si="25"/>
        <v>1723552.6882500001</v>
      </c>
      <c r="BM68" s="14">
        <v>46247</v>
      </c>
      <c r="BN68" s="24">
        <v>0</v>
      </c>
      <c r="BO68" s="24">
        <v>0</v>
      </c>
      <c r="BP68" s="24">
        <f t="shared" si="19"/>
        <v>0</v>
      </c>
      <c r="BQ68" s="24">
        <f>6223.55+2418.24</f>
        <v>8641.7900000000009</v>
      </c>
      <c r="BR68" s="13" t="s">
        <v>122</v>
      </c>
      <c r="BS68" s="13" t="s">
        <v>169</v>
      </c>
      <c r="BT68" s="13" t="s">
        <v>124</v>
      </c>
      <c r="BU68" s="16" t="s">
        <v>222</v>
      </c>
      <c r="BV68" s="16" t="s">
        <v>258</v>
      </c>
      <c r="BW68" s="16" t="s">
        <v>127</v>
      </c>
      <c r="BX68" s="13" t="s">
        <v>767</v>
      </c>
      <c r="BY68" s="13" t="s">
        <v>124</v>
      </c>
      <c r="BZ68" s="24">
        <f>685.88+21910</f>
        <v>22595.88</v>
      </c>
      <c r="CA68" s="18" t="s">
        <v>130</v>
      </c>
      <c r="CB68" s="22" t="s">
        <v>110</v>
      </c>
      <c r="CC68" s="33" t="s">
        <v>110</v>
      </c>
      <c r="CD68" s="18" t="s">
        <v>110</v>
      </c>
      <c r="CE68" s="24" t="s">
        <v>124</v>
      </c>
      <c r="CF68" s="13" t="s">
        <v>124</v>
      </c>
      <c r="CG68" s="13">
        <v>3070354</v>
      </c>
      <c r="CH68" s="13" t="s">
        <v>100</v>
      </c>
      <c r="CI68" s="24">
        <v>96.05</v>
      </c>
      <c r="CJ68" s="24">
        <f t="shared" si="8"/>
        <v>321782.44801500003</v>
      </c>
      <c r="CK68" s="24">
        <v>18038.7</v>
      </c>
      <c r="CL68" s="24">
        <f t="shared" ref="CL68:CL70" si="27">ROUND(CK68*CI68,0)</f>
        <v>1732617</v>
      </c>
      <c r="CM68" s="24">
        <v>0</v>
      </c>
      <c r="CN68" s="18">
        <f t="shared" si="9"/>
        <v>1732617</v>
      </c>
      <c r="CO68" s="18">
        <f t="shared" si="23"/>
        <v>311871</v>
      </c>
      <c r="CP68" s="24">
        <v>1025</v>
      </c>
      <c r="CQ68" s="18">
        <f t="shared" si="11"/>
        <v>312896</v>
      </c>
      <c r="CR68" s="24"/>
      <c r="CS68" s="14">
        <v>46255</v>
      </c>
      <c r="CT68" s="13" t="s">
        <v>110</v>
      </c>
      <c r="CU68" s="13" t="s">
        <v>768</v>
      </c>
      <c r="CV68" s="16" t="s">
        <v>261</v>
      </c>
    </row>
    <row r="69" spans="1:100" s="13" customFormat="1" ht="57.6">
      <c r="A69" s="12" t="s">
        <v>288</v>
      </c>
      <c r="B69" s="13" t="str">
        <f t="shared" si="12"/>
        <v>085722</v>
      </c>
      <c r="C69" s="13" t="s">
        <v>96</v>
      </c>
      <c r="D69" s="13" t="s">
        <v>97</v>
      </c>
      <c r="E69" s="13" t="s">
        <v>769</v>
      </c>
      <c r="F69" s="14">
        <v>46264</v>
      </c>
      <c r="G69" s="43">
        <f t="shared" si="26"/>
        <v>46277</v>
      </c>
      <c r="H69" s="15" t="s">
        <v>99</v>
      </c>
      <c r="I69" s="15" t="s">
        <v>100</v>
      </c>
      <c r="J69" s="15" t="s">
        <v>100</v>
      </c>
      <c r="K69" s="14">
        <v>46253</v>
      </c>
      <c r="L69" s="42">
        <v>1620021365</v>
      </c>
      <c r="M69" s="13">
        <f t="shared" si="13"/>
        <v>1</v>
      </c>
      <c r="N69" s="43">
        <v>46197</v>
      </c>
      <c r="O69" s="30" t="s">
        <v>101</v>
      </c>
      <c r="P69" s="16" t="s">
        <v>102</v>
      </c>
      <c r="Q69" s="39" t="s">
        <v>632</v>
      </c>
      <c r="R69" s="42" t="s">
        <v>758</v>
      </c>
      <c r="S69" s="13" t="s">
        <v>634</v>
      </c>
      <c r="T69" s="24">
        <v>400</v>
      </c>
      <c r="U69" s="24">
        <v>765</v>
      </c>
      <c r="V69" s="24">
        <f t="shared" si="3"/>
        <v>306000</v>
      </c>
      <c r="W69" s="24">
        <v>0</v>
      </c>
      <c r="X69" s="18">
        <f t="shared" si="22"/>
        <v>306000</v>
      </c>
      <c r="Y69" s="19" t="s">
        <v>770</v>
      </c>
      <c r="Z69" s="14">
        <v>46198</v>
      </c>
      <c r="AA69" s="13" t="s">
        <v>771</v>
      </c>
      <c r="AB69" s="13">
        <v>24.76</v>
      </c>
      <c r="AC69" s="13" t="s">
        <v>772</v>
      </c>
      <c r="AD69" s="13">
        <v>24.77</v>
      </c>
      <c r="AE69" s="13" t="s">
        <v>110</v>
      </c>
      <c r="AF69" s="13" t="s">
        <v>110</v>
      </c>
      <c r="AG69" s="13" t="s">
        <v>110</v>
      </c>
      <c r="AH69" s="13" t="s">
        <v>110</v>
      </c>
      <c r="AI69" s="13" t="s">
        <v>110</v>
      </c>
      <c r="AJ69" s="13" t="s">
        <v>110</v>
      </c>
      <c r="AK69" s="13">
        <v>24760</v>
      </c>
      <c r="AL69" s="13" t="s">
        <v>760</v>
      </c>
      <c r="AM69" s="13" t="s">
        <v>112</v>
      </c>
      <c r="AN69" s="16" t="s">
        <v>773</v>
      </c>
      <c r="AO69" s="16" t="s">
        <v>774</v>
      </c>
      <c r="AP69" s="13" t="s">
        <v>115</v>
      </c>
      <c r="AQ69" s="13" t="s">
        <v>116</v>
      </c>
      <c r="AR69" s="13" t="s">
        <v>116</v>
      </c>
      <c r="AS69" s="13">
        <v>72044900</v>
      </c>
      <c r="AT69" s="13" t="s">
        <v>117</v>
      </c>
      <c r="AU69" s="13" t="s">
        <v>775</v>
      </c>
      <c r="AV69" s="13" t="s">
        <v>119</v>
      </c>
      <c r="AW69" s="24">
        <v>1600</v>
      </c>
      <c r="AX69" s="16" t="s">
        <v>776</v>
      </c>
      <c r="AY69" s="16" t="s">
        <v>777</v>
      </c>
      <c r="AZ69" s="14">
        <v>46253</v>
      </c>
      <c r="BA69" s="45">
        <v>49.53</v>
      </c>
      <c r="BB69" s="24">
        <v>765</v>
      </c>
      <c r="BC69" s="24">
        <v>0</v>
      </c>
      <c r="BD69" s="24">
        <v>95.05</v>
      </c>
      <c r="BE69" s="24">
        <f t="shared" si="15"/>
        <v>37890.450000000004</v>
      </c>
      <c r="BF69" s="18">
        <v>0</v>
      </c>
      <c r="BG69" s="13" t="s">
        <v>110</v>
      </c>
      <c r="BH69" s="20">
        <f t="shared" si="21"/>
        <v>37890.449999999997</v>
      </c>
      <c r="BI69" s="24">
        <f t="shared" ref="BI69:BI127" si="28">+BH69*98</f>
        <v>3713264.0999999996</v>
      </c>
      <c r="BJ69" s="18">
        <f t="shared" si="17"/>
        <v>37890.449999999997</v>
      </c>
      <c r="BK69" s="24">
        <f t="shared" ref="BK69:BK127" si="29">+BI69+CJ69</f>
        <v>4051149.3168299999</v>
      </c>
      <c r="BL69" s="24">
        <f t="shared" si="25"/>
        <v>3601487.2724999995</v>
      </c>
      <c r="BM69" s="14">
        <v>46269</v>
      </c>
      <c r="BN69" s="24">
        <v>0</v>
      </c>
      <c r="BO69" s="24">
        <v>0</v>
      </c>
      <c r="BP69" s="24">
        <f t="shared" si="19"/>
        <v>0</v>
      </c>
      <c r="BQ69" s="24">
        <f>8101.49+2756.26</f>
        <v>10857.75</v>
      </c>
      <c r="BR69" s="13" t="s">
        <v>122</v>
      </c>
      <c r="BS69" s="13" t="s">
        <v>169</v>
      </c>
      <c r="BT69" s="13" t="s">
        <v>124</v>
      </c>
      <c r="BU69" s="16" t="s">
        <v>154</v>
      </c>
      <c r="BV69" s="16" t="s">
        <v>258</v>
      </c>
      <c r="BW69" s="16" t="s">
        <v>127</v>
      </c>
      <c r="BX69" s="13" t="s">
        <v>778</v>
      </c>
      <c r="BY69" s="13" t="s">
        <v>124</v>
      </c>
      <c r="BZ69" s="24">
        <v>43138</v>
      </c>
      <c r="CA69" s="18" t="s">
        <v>130</v>
      </c>
      <c r="CB69" s="22" t="s">
        <v>110</v>
      </c>
      <c r="CC69" s="33" t="s">
        <v>110</v>
      </c>
      <c r="CD69" s="18">
        <v>35367</v>
      </c>
      <c r="CE69" s="24" t="s">
        <v>124</v>
      </c>
      <c r="CF69" s="13" t="s">
        <v>779</v>
      </c>
      <c r="CG69" s="13">
        <v>3423673</v>
      </c>
      <c r="CH69" s="13" t="s">
        <v>172</v>
      </c>
      <c r="CI69" s="24">
        <v>96.5</v>
      </c>
      <c r="CJ69" s="24">
        <f t="shared" ref="CJ69:CJ127" si="30">((AK69*U69/1000)+((AK69*U69/1000)*1.125%))*98*18%</f>
        <v>337885.21683000005</v>
      </c>
      <c r="CK69" s="24">
        <v>37890.449999999997</v>
      </c>
      <c r="CL69" s="24">
        <f t="shared" si="27"/>
        <v>3656428</v>
      </c>
      <c r="CM69" s="24">
        <v>0</v>
      </c>
      <c r="CN69" s="18">
        <f t="shared" si="9"/>
        <v>3656428</v>
      </c>
      <c r="CO69" s="18">
        <f t="shared" si="23"/>
        <v>658157</v>
      </c>
      <c r="CP69" s="24">
        <v>0</v>
      </c>
      <c r="CQ69" s="18">
        <f t="shared" si="11"/>
        <v>658157</v>
      </c>
      <c r="CR69" s="24"/>
      <c r="CS69" s="14">
        <v>46274</v>
      </c>
      <c r="CT69" s="13" t="s">
        <v>211</v>
      </c>
      <c r="CU69" s="13" t="s">
        <v>780</v>
      </c>
      <c r="CV69" s="16" t="s">
        <v>261</v>
      </c>
    </row>
    <row r="70" spans="1:100" s="13" customFormat="1" ht="57.6">
      <c r="A70" s="12" t="s">
        <v>288</v>
      </c>
      <c r="B70" s="13" t="str">
        <f t="shared" si="12"/>
        <v>085723</v>
      </c>
      <c r="C70" s="13" t="s">
        <v>96</v>
      </c>
      <c r="D70" s="13" t="s">
        <v>97</v>
      </c>
      <c r="E70" s="13" t="s">
        <v>781</v>
      </c>
      <c r="F70" s="14">
        <v>46264</v>
      </c>
      <c r="G70" s="43">
        <f t="shared" si="26"/>
        <v>46277</v>
      </c>
      <c r="H70" s="15" t="s">
        <v>99</v>
      </c>
      <c r="I70" s="15" t="s">
        <v>100</v>
      </c>
      <c r="J70" s="15" t="s">
        <v>100</v>
      </c>
      <c r="K70" s="14">
        <v>46253</v>
      </c>
      <c r="L70" s="42">
        <v>1620021365</v>
      </c>
      <c r="M70" s="13">
        <f t="shared" ref="M70:M127" si="31">IF(AK70&gt;127000,6,IF(AK70&gt;104000, 5, IF(AK70&gt;79000, 4, IF(AK70&gt;55000, 3, IF(AK70&gt;29000, 2, IF(AK70&gt;4900, 1, 0))))))</f>
        <v>1</v>
      </c>
      <c r="N70" s="43">
        <v>46197</v>
      </c>
      <c r="O70" s="30" t="s">
        <v>101</v>
      </c>
      <c r="P70" s="16" t="s">
        <v>102</v>
      </c>
      <c r="Q70" s="39" t="s">
        <v>632</v>
      </c>
      <c r="R70" s="42" t="s">
        <v>758</v>
      </c>
      <c r="S70" s="13" t="s">
        <v>634</v>
      </c>
      <c r="T70" s="24">
        <v>400</v>
      </c>
      <c r="U70" s="24">
        <v>765</v>
      </c>
      <c r="V70" s="24">
        <f t="shared" ref="V70:V119" si="32">+T70*U70</f>
        <v>306000</v>
      </c>
      <c r="W70" s="24">
        <v>0</v>
      </c>
      <c r="X70" s="18">
        <f t="shared" si="22"/>
        <v>306000</v>
      </c>
      <c r="Y70" s="16" t="s">
        <v>782</v>
      </c>
      <c r="Z70" s="14">
        <v>46198</v>
      </c>
      <c r="AA70" s="13" t="s">
        <v>783</v>
      </c>
      <c r="AB70" s="13">
        <v>25.1</v>
      </c>
      <c r="AC70" s="16" t="s">
        <v>784</v>
      </c>
      <c r="AD70" s="16">
        <v>24.75</v>
      </c>
      <c r="AE70" s="13" t="s">
        <v>110</v>
      </c>
      <c r="AF70" s="13" t="s">
        <v>110</v>
      </c>
      <c r="AG70" s="13" t="s">
        <v>110</v>
      </c>
      <c r="AH70" s="13" t="s">
        <v>110</v>
      </c>
      <c r="AI70" s="13" t="s">
        <v>110</v>
      </c>
      <c r="AJ70" s="13" t="s">
        <v>110</v>
      </c>
      <c r="AK70" s="13">
        <v>25100</v>
      </c>
      <c r="AL70" s="13" t="s">
        <v>760</v>
      </c>
      <c r="AM70" s="13" t="s">
        <v>112</v>
      </c>
      <c r="AN70" s="16" t="s">
        <v>785</v>
      </c>
      <c r="AO70" s="16" t="s">
        <v>774</v>
      </c>
      <c r="AP70" s="13" t="s">
        <v>115</v>
      </c>
      <c r="AQ70" s="13" t="s">
        <v>116</v>
      </c>
      <c r="AR70" s="13" t="s">
        <v>116</v>
      </c>
      <c r="AS70" s="13">
        <v>72044900</v>
      </c>
      <c r="AT70" s="13" t="s">
        <v>117</v>
      </c>
      <c r="AU70" s="13" t="s">
        <v>786</v>
      </c>
      <c r="AV70" s="13" t="s">
        <v>119</v>
      </c>
      <c r="AW70" s="24">
        <v>800</v>
      </c>
      <c r="AX70" s="13" t="s">
        <v>787</v>
      </c>
      <c r="AY70" s="16" t="s">
        <v>788</v>
      </c>
      <c r="AZ70" s="14">
        <v>46253</v>
      </c>
      <c r="BA70" s="45">
        <v>49.85</v>
      </c>
      <c r="BB70" s="24">
        <v>765</v>
      </c>
      <c r="BC70" s="24">
        <v>0</v>
      </c>
      <c r="BD70" s="24">
        <v>95.05</v>
      </c>
      <c r="BE70" s="24">
        <f t="shared" si="15"/>
        <v>38135.25</v>
      </c>
      <c r="BF70" s="18">
        <v>0</v>
      </c>
      <c r="BG70" s="13" t="s">
        <v>110</v>
      </c>
      <c r="BH70" s="20">
        <f t="shared" si="21"/>
        <v>38135.25</v>
      </c>
      <c r="BI70" s="24">
        <f t="shared" si="28"/>
        <v>3737254.5</v>
      </c>
      <c r="BJ70" s="18">
        <f t="shared" si="17"/>
        <v>38135.25</v>
      </c>
      <c r="BK70" s="24">
        <f t="shared" si="29"/>
        <v>4079779.4976749998</v>
      </c>
      <c r="BL70" s="24">
        <f t="shared" si="25"/>
        <v>3624755.5124999997</v>
      </c>
      <c r="BM70" s="14">
        <v>46269</v>
      </c>
      <c r="BN70" s="24">
        <v>0</v>
      </c>
      <c r="BO70" s="24">
        <v>0</v>
      </c>
      <c r="BP70" s="24">
        <f t="shared" si="19"/>
        <v>0</v>
      </c>
      <c r="BQ70" s="24">
        <f>8124.76+2760.46</f>
        <v>10885.220000000001</v>
      </c>
      <c r="BR70" s="13" t="s">
        <v>122</v>
      </c>
      <c r="BS70" s="13" t="s">
        <v>169</v>
      </c>
      <c r="BT70" s="13" t="s">
        <v>124</v>
      </c>
      <c r="BU70" s="16" t="s">
        <v>154</v>
      </c>
      <c r="BV70" s="16" t="s">
        <v>258</v>
      </c>
      <c r="BW70" s="16" t="s">
        <v>355</v>
      </c>
      <c r="BY70" s="13" t="s">
        <v>124</v>
      </c>
      <c r="BZ70" s="24">
        <v>43138</v>
      </c>
      <c r="CA70" s="18" t="s">
        <v>130</v>
      </c>
      <c r="CB70" s="22" t="s">
        <v>110</v>
      </c>
      <c r="CC70" s="33" t="s">
        <v>110</v>
      </c>
      <c r="CD70" s="18">
        <f>36394+16596</f>
        <v>52990</v>
      </c>
      <c r="CE70" s="24" t="s">
        <v>124</v>
      </c>
      <c r="CF70" s="13" t="s">
        <v>779</v>
      </c>
      <c r="CG70" s="13">
        <v>3420994</v>
      </c>
      <c r="CH70" s="13" t="s">
        <v>172</v>
      </c>
      <c r="CI70" s="24">
        <v>96.5</v>
      </c>
      <c r="CJ70" s="24">
        <f t="shared" si="30"/>
        <v>342524.99767499999</v>
      </c>
      <c r="CK70" s="24">
        <v>38135.25</v>
      </c>
      <c r="CL70" s="24">
        <f t="shared" si="27"/>
        <v>3680052</v>
      </c>
      <c r="CM70" s="24">
        <v>0</v>
      </c>
      <c r="CN70" s="18">
        <f t="shared" ref="CN70:CN111" si="33">CL70+CM70</f>
        <v>3680052</v>
      </c>
      <c r="CO70" s="18">
        <f t="shared" si="23"/>
        <v>662409</v>
      </c>
      <c r="CP70" s="24">
        <v>0</v>
      </c>
      <c r="CQ70" s="18">
        <f t="shared" ref="CQ70:CQ127" si="34">ROUND((CO70+CP70+CM70),0)</f>
        <v>662409</v>
      </c>
      <c r="CR70" s="24">
        <f>73600+12471</f>
        <v>86071</v>
      </c>
      <c r="CS70" s="14">
        <v>46275</v>
      </c>
      <c r="CT70" s="13" t="s">
        <v>110</v>
      </c>
      <c r="CU70" s="13" t="s">
        <v>789</v>
      </c>
    </row>
    <row r="71" spans="1:100" s="13" customFormat="1" ht="43.2">
      <c r="A71" s="12" t="s">
        <v>288</v>
      </c>
      <c r="B71" s="13" t="str">
        <f t="shared" ref="B71:B116" si="35">RIGHT(E71,6)</f>
        <v>159040</v>
      </c>
      <c r="C71" s="13" t="s">
        <v>571</v>
      </c>
      <c r="D71" s="13" t="s">
        <v>97</v>
      </c>
      <c r="E71" s="13" t="s">
        <v>790</v>
      </c>
      <c r="F71" s="14">
        <v>46288</v>
      </c>
      <c r="G71" s="43">
        <f t="shared" si="26"/>
        <v>46301</v>
      </c>
      <c r="H71" s="15" t="s">
        <v>99</v>
      </c>
      <c r="I71" s="15" t="s">
        <v>172</v>
      </c>
      <c r="J71" s="15" t="s">
        <v>172</v>
      </c>
      <c r="K71" s="14">
        <v>46254</v>
      </c>
      <c r="L71" s="42">
        <v>1620021365</v>
      </c>
      <c r="M71" s="13">
        <f t="shared" si="31"/>
        <v>1</v>
      </c>
      <c r="N71" s="43">
        <v>46197</v>
      </c>
      <c r="O71" s="30" t="s">
        <v>101</v>
      </c>
      <c r="P71" s="16" t="s">
        <v>102</v>
      </c>
      <c r="Q71" s="39" t="s">
        <v>632</v>
      </c>
      <c r="R71" s="42" t="s">
        <v>758</v>
      </c>
      <c r="S71" s="13" t="s">
        <v>634</v>
      </c>
      <c r="T71" s="24">
        <v>400</v>
      </c>
      <c r="U71" s="24">
        <v>765</v>
      </c>
      <c r="V71" s="24">
        <f t="shared" si="32"/>
        <v>306000</v>
      </c>
      <c r="W71" s="24">
        <v>0</v>
      </c>
      <c r="X71" s="18">
        <f t="shared" si="22"/>
        <v>306000</v>
      </c>
      <c r="Y71" s="19">
        <v>8110046429</v>
      </c>
      <c r="Z71" s="14">
        <v>46198</v>
      </c>
      <c r="AA71" s="13" t="s">
        <v>791</v>
      </c>
      <c r="AB71" s="13">
        <v>24.79</v>
      </c>
      <c r="AC71" s="13" t="s">
        <v>110</v>
      </c>
      <c r="AD71" s="13" t="s">
        <v>110</v>
      </c>
      <c r="AE71" s="13" t="s">
        <v>110</v>
      </c>
      <c r="AF71" s="13" t="s">
        <v>110</v>
      </c>
      <c r="AG71" s="13" t="s">
        <v>110</v>
      </c>
      <c r="AH71" s="13" t="s">
        <v>110</v>
      </c>
      <c r="AI71" s="13" t="s">
        <v>110</v>
      </c>
      <c r="AJ71" s="13" t="s">
        <v>110</v>
      </c>
      <c r="AK71" s="13">
        <v>24790</v>
      </c>
      <c r="AL71" s="13" t="s">
        <v>760</v>
      </c>
      <c r="AM71" s="13" t="s">
        <v>112</v>
      </c>
      <c r="AN71" s="16">
        <v>20395</v>
      </c>
      <c r="AO71" s="13" t="s">
        <v>748</v>
      </c>
      <c r="AP71" s="13" t="s">
        <v>115</v>
      </c>
      <c r="AQ71" s="13" t="s">
        <v>116</v>
      </c>
      <c r="AR71" s="13" t="s">
        <v>116</v>
      </c>
      <c r="AS71" s="13">
        <v>72044900</v>
      </c>
      <c r="AT71" s="13" t="s">
        <v>117</v>
      </c>
      <c r="AU71" s="13" t="s">
        <v>792</v>
      </c>
      <c r="AV71" s="16" t="s">
        <v>119</v>
      </c>
      <c r="AW71" s="24">
        <v>800</v>
      </c>
      <c r="AX71" s="13" t="s">
        <v>793</v>
      </c>
      <c r="AY71" s="13">
        <v>9000103032</v>
      </c>
      <c r="AZ71" s="14">
        <v>46254</v>
      </c>
      <c r="BA71" s="45">
        <v>24.79</v>
      </c>
      <c r="BB71" s="24">
        <v>765</v>
      </c>
      <c r="BC71" s="24">
        <v>0</v>
      </c>
      <c r="BD71" s="24">
        <v>0</v>
      </c>
      <c r="BE71" s="24">
        <f t="shared" si="15"/>
        <v>18964.349999999999</v>
      </c>
      <c r="BF71" s="18">
        <v>0</v>
      </c>
      <c r="BG71" s="13" t="s">
        <v>110</v>
      </c>
      <c r="BH71" s="20">
        <f t="shared" si="21"/>
        <v>18964.349999999999</v>
      </c>
      <c r="BI71" s="24">
        <f t="shared" si="28"/>
        <v>1858506.2999999998</v>
      </c>
      <c r="BJ71" s="18">
        <f t="shared" si="17"/>
        <v>18964.349999999999</v>
      </c>
      <c r="BK71" s="24">
        <f t="shared" si="29"/>
        <v>2196800.9092575</v>
      </c>
      <c r="BL71" s="24">
        <f t="shared" si="25"/>
        <v>0</v>
      </c>
      <c r="BN71" s="24">
        <v>0</v>
      </c>
      <c r="BO71" s="24">
        <v>0</v>
      </c>
      <c r="BP71" s="24">
        <f t="shared" si="19"/>
        <v>0</v>
      </c>
      <c r="BQ71" s="24"/>
      <c r="BR71" s="13" t="s">
        <v>581</v>
      </c>
      <c r="BS71" s="13" t="s">
        <v>169</v>
      </c>
      <c r="BT71" s="13" t="s">
        <v>124</v>
      </c>
      <c r="BU71" s="16" t="s">
        <v>750</v>
      </c>
      <c r="BV71" s="16" t="s">
        <v>258</v>
      </c>
      <c r="BW71" s="16" t="s">
        <v>127</v>
      </c>
      <c r="BX71" s="13" t="s">
        <v>751</v>
      </c>
      <c r="BY71" s="13" t="s">
        <v>124</v>
      </c>
      <c r="BZ71" s="24"/>
      <c r="CA71" s="24"/>
      <c r="CB71" s="22" t="s">
        <v>110</v>
      </c>
      <c r="CC71" s="33" t="s">
        <v>110</v>
      </c>
      <c r="CD71" s="18" t="s">
        <v>110</v>
      </c>
      <c r="CE71" s="24" t="s">
        <v>124</v>
      </c>
      <c r="CF71" s="13" t="s">
        <v>124</v>
      </c>
      <c r="CH71" s="13" t="s">
        <v>172</v>
      </c>
      <c r="CI71" s="24"/>
      <c r="CJ71" s="24">
        <f t="shared" si="30"/>
        <v>338294.60925749998</v>
      </c>
      <c r="CK71" s="24"/>
      <c r="CM71" s="24">
        <v>0</v>
      </c>
      <c r="CN71" s="18">
        <f t="shared" si="33"/>
        <v>0</v>
      </c>
      <c r="CO71" s="18">
        <f t="shared" si="23"/>
        <v>0</v>
      </c>
      <c r="CP71" s="24">
        <v>0</v>
      </c>
      <c r="CQ71" s="18">
        <f t="shared" si="34"/>
        <v>0</v>
      </c>
      <c r="CR71" s="24"/>
      <c r="CT71" s="13" t="s">
        <v>110</v>
      </c>
    </row>
    <row r="72" spans="1:100" s="13" customFormat="1" ht="72">
      <c r="A72" s="12" t="s">
        <v>288</v>
      </c>
      <c r="B72" s="13" t="str">
        <f t="shared" si="35"/>
        <v>085741</v>
      </c>
      <c r="C72" s="13" t="s">
        <v>96</v>
      </c>
      <c r="D72" s="13" t="s">
        <v>97</v>
      </c>
      <c r="E72" s="13" t="s">
        <v>794</v>
      </c>
      <c r="F72" s="14">
        <v>46264</v>
      </c>
      <c r="G72" s="43">
        <f t="shared" si="26"/>
        <v>46277</v>
      </c>
      <c r="H72" s="15" t="s">
        <v>99</v>
      </c>
      <c r="I72" s="15" t="s">
        <v>100</v>
      </c>
      <c r="J72" s="15" t="s">
        <v>100</v>
      </c>
      <c r="K72" s="14">
        <v>46253</v>
      </c>
      <c r="L72" s="42">
        <v>1620021365</v>
      </c>
      <c r="M72" s="13">
        <f t="shared" si="31"/>
        <v>3</v>
      </c>
      <c r="N72" s="43">
        <v>46197</v>
      </c>
      <c r="O72" s="30" t="s">
        <v>101</v>
      </c>
      <c r="P72" s="16" t="s">
        <v>102</v>
      </c>
      <c r="Q72" s="39" t="s">
        <v>632</v>
      </c>
      <c r="R72" s="42" t="s">
        <v>758</v>
      </c>
      <c r="S72" s="13" t="s">
        <v>634</v>
      </c>
      <c r="T72" s="24">
        <v>400</v>
      </c>
      <c r="U72" s="24">
        <v>765</v>
      </c>
      <c r="V72" s="24">
        <f t="shared" si="32"/>
        <v>306000</v>
      </c>
      <c r="W72" s="24">
        <v>0</v>
      </c>
      <c r="X72" s="18">
        <f t="shared" si="22"/>
        <v>306000</v>
      </c>
      <c r="Y72" s="19" t="s">
        <v>795</v>
      </c>
      <c r="Z72" s="14">
        <v>46198</v>
      </c>
      <c r="AA72" s="13" t="s">
        <v>796</v>
      </c>
      <c r="AB72" s="13">
        <v>25.44</v>
      </c>
      <c r="AC72" s="13" t="s">
        <v>772</v>
      </c>
      <c r="AD72" s="13">
        <v>24.92</v>
      </c>
      <c r="AE72" s="13" t="s">
        <v>797</v>
      </c>
      <c r="AF72" s="13">
        <v>24.84</v>
      </c>
      <c r="AG72" s="13" t="s">
        <v>110</v>
      </c>
      <c r="AH72" s="13" t="s">
        <v>110</v>
      </c>
      <c r="AI72" s="13" t="s">
        <v>110</v>
      </c>
      <c r="AJ72" s="13" t="s">
        <v>110</v>
      </c>
      <c r="AK72" s="13">
        <v>75200</v>
      </c>
      <c r="AL72" s="13" t="s">
        <v>760</v>
      </c>
      <c r="AM72" s="13" t="s">
        <v>112</v>
      </c>
      <c r="AN72" s="16" t="s">
        <v>798</v>
      </c>
      <c r="AO72" s="16" t="s">
        <v>799</v>
      </c>
      <c r="AP72" s="13" t="s">
        <v>115</v>
      </c>
      <c r="AQ72" s="13" t="s">
        <v>116</v>
      </c>
      <c r="AR72" s="13" t="s">
        <v>116</v>
      </c>
      <c r="AS72" s="13">
        <v>72044900</v>
      </c>
      <c r="AT72" s="13" t="s">
        <v>117</v>
      </c>
      <c r="AU72" s="13" t="s">
        <v>800</v>
      </c>
      <c r="AV72" s="13" t="s">
        <v>119</v>
      </c>
      <c r="AW72" s="24">
        <v>800</v>
      </c>
      <c r="AX72" s="13" t="s">
        <v>801</v>
      </c>
      <c r="AY72" s="16" t="s">
        <v>802</v>
      </c>
      <c r="AZ72" s="14">
        <v>46253</v>
      </c>
      <c r="BA72" s="45">
        <v>75.2</v>
      </c>
      <c r="BB72" s="24">
        <v>765</v>
      </c>
      <c r="BC72" s="24">
        <v>0</v>
      </c>
      <c r="BD72" s="24">
        <v>95.05</v>
      </c>
      <c r="BE72" s="24">
        <f t="shared" ref="BE72:BE121" si="36">BA72*BB72</f>
        <v>57528</v>
      </c>
      <c r="BF72" s="18">
        <v>0</v>
      </c>
      <c r="BG72" s="13" t="s">
        <v>110</v>
      </c>
      <c r="BH72" s="20">
        <f t="shared" si="21"/>
        <v>57528</v>
      </c>
      <c r="BI72" s="24">
        <f t="shared" si="28"/>
        <v>5637744</v>
      </c>
      <c r="BJ72" s="18">
        <f t="shared" si="17"/>
        <v>57528</v>
      </c>
      <c r="BK72" s="24">
        <f t="shared" si="29"/>
        <v>6663954.3515999997</v>
      </c>
      <c r="BL72" s="24">
        <f>BJ72*BD72</f>
        <v>5468036.3999999994</v>
      </c>
      <c r="BM72" s="14">
        <v>46270</v>
      </c>
      <c r="BN72" s="24">
        <v>0</v>
      </c>
      <c r="BO72" s="24">
        <v>0</v>
      </c>
      <c r="BP72" s="24">
        <f t="shared" si="19"/>
        <v>0</v>
      </c>
      <c r="BQ72" s="24">
        <f>9968.04+3092.24</f>
        <v>13060.28</v>
      </c>
      <c r="BR72" s="13" t="s">
        <v>122</v>
      </c>
      <c r="BS72" s="13" t="s">
        <v>169</v>
      </c>
      <c r="BT72" s="13" t="s">
        <v>124</v>
      </c>
      <c r="BU72" s="13" t="s">
        <v>154</v>
      </c>
      <c r="BV72" s="13" t="s">
        <v>258</v>
      </c>
      <c r="BW72" s="16" t="s">
        <v>127</v>
      </c>
      <c r="BX72" s="13" t="s">
        <v>803</v>
      </c>
      <c r="BY72" s="13" t="s">
        <v>124</v>
      </c>
      <c r="BZ72" s="24">
        <v>62007</v>
      </c>
      <c r="CA72" s="18" t="s">
        <v>130</v>
      </c>
      <c r="CB72" s="22">
        <v>46278</v>
      </c>
      <c r="CC72" s="33">
        <v>46281</v>
      </c>
      <c r="CD72" s="18">
        <v>89398</v>
      </c>
      <c r="CE72" s="24" t="s">
        <v>124</v>
      </c>
      <c r="CF72" s="13" t="s">
        <v>779</v>
      </c>
      <c r="CG72" s="13">
        <v>3571957</v>
      </c>
      <c r="CH72" s="13" t="s">
        <v>172</v>
      </c>
      <c r="CI72" s="24">
        <v>95.25</v>
      </c>
      <c r="CJ72" s="24">
        <f t="shared" si="30"/>
        <v>1026210.3515999999</v>
      </c>
      <c r="CK72" s="24">
        <v>57528</v>
      </c>
      <c r="CL72" s="24">
        <f>ROUND(CK72*CI72,0)</f>
        <v>5479542</v>
      </c>
      <c r="CM72" s="24">
        <v>0</v>
      </c>
      <c r="CN72" s="18">
        <f t="shared" si="33"/>
        <v>5479542</v>
      </c>
      <c r="CO72" s="18">
        <f t="shared" si="23"/>
        <v>986318</v>
      </c>
      <c r="CP72" s="24">
        <v>45000</v>
      </c>
      <c r="CQ72" s="18">
        <f t="shared" si="34"/>
        <v>1031318</v>
      </c>
      <c r="CR72" s="24"/>
      <c r="CS72" s="14">
        <v>46281</v>
      </c>
      <c r="CT72" s="13" t="s">
        <v>110</v>
      </c>
      <c r="CU72" s="13" t="s">
        <v>804</v>
      </c>
      <c r="CV72" s="16" t="s">
        <v>261</v>
      </c>
    </row>
    <row r="73" spans="1:100" s="13" customFormat="1" ht="43.2">
      <c r="A73" s="12" t="s">
        <v>288</v>
      </c>
      <c r="B73" s="13" t="str">
        <f t="shared" si="35"/>
        <v>169619</v>
      </c>
      <c r="C73" s="13" t="s">
        <v>571</v>
      </c>
      <c r="D73" s="13" t="s">
        <v>97</v>
      </c>
      <c r="E73" s="13" t="s">
        <v>805</v>
      </c>
      <c r="F73" s="14">
        <v>46298</v>
      </c>
      <c r="G73" s="43">
        <f t="shared" si="26"/>
        <v>46311</v>
      </c>
      <c r="H73" s="15" t="s">
        <v>99</v>
      </c>
      <c r="I73" s="15" t="s">
        <v>172</v>
      </c>
      <c r="J73" s="15" t="s">
        <v>172</v>
      </c>
      <c r="K73" s="14">
        <v>46274</v>
      </c>
      <c r="L73" s="42">
        <v>1620021365</v>
      </c>
      <c r="M73" s="13">
        <f t="shared" si="31"/>
        <v>1</v>
      </c>
      <c r="N73" s="43">
        <v>46197</v>
      </c>
      <c r="O73" s="30" t="s">
        <v>101</v>
      </c>
      <c r="P73" s="16" t="s">
        <v>102</v>
      </c>
      <c r="Q73" s="39" t="s">
        <v>632</v>
      </c>
      <c r="R73" s="42" t="s">
        <v>758</v>
      </c>
      <c r="S73" s="13" t="s">
        <v>634</v>
      </c>
      <c r="T73" s="24">
        <v>400</v>
      </c>
      <c r="U73" s="24">
        <v>765</v>
      </c>
      <c r="V73" s="24">
        <f t="shared" si="32"/>
        <v>306000</v>
      </c>
      <c r="W73" s="24">
        <v>0</v>
      </c>
      <c r="X73" s="18">
        <f t="shared" si="22"/>
        <v>306000</v>
      </c>
      <c r="Y73" s="19">
        <v>8110046582</v>
      </c>
      <c r="Z73" s="14">
        <v>46226</v>
      </c>
      <c r="AA73" s="13" t="s">
        <v>806</v>
      </c>
      <c r="AB73" s="13">
        <v>24.68</v>
      </c>
      <c r="AC73" s="13" t="s">
        <v>110</v>
      </c>
      <c r="AD73" s="13" t="s">
        <v>110</v>
      </c>
      <c r="AE73" s="13" t="s">
        <v>110</v>
      </c>
      <c r="AF73" s="13" t="s">
        <v>110</v>
      </c>
      <c r="AG73" s="13" t="s">
        <v>110</v>
      </c>
      <c r="AH73" s="13" t="s">
        <v>110</v>
      </c>
      <c r="AI73" s="13" t="s">
        <v>110</v>
      </c>
      <c r="AJ73" s="13" t="s">
        <v>110</v>
      </c>
      <c r="AK73" s="13">
        <v>24680</v>
      </c>
      <c r="AL73" s="13" t="s">
        <v>807</v>
      </c>
      <c r="AM73" s="13" t="s">
        <v>112</v>
      </c>
      <c r="AN73" s="16">
        <v>20282</v>
      </c>
      <c r="AO73" s="13" t="s">
        <v>808</v>
      </c>
      <c r="AP73" s="13" t="s">
        <v>115</v>
      </c>
      <c r="AQ73" s="13" t="s">
        <v>116</v>
      </c>
      <c r="AR73" s="13" t="s">
        <v>116</v>
      </c>
      <c r="AS73" s="13">
        <v>72044900</v>
      </c>
      <c r="AT73" s="13" t="s">
        <v>117</v>
      </c>
      <c r="AV73" s="16" t="s">
        <v>119</v>
      </c>
      <c r="AW73" s="24">
        <v>800</v>
      </c>
      <c r="AX73" s="13" t="s">
        <v>809</v>
      </c>
      <c r="AY73" s="13">
        <v>9000103914</v>
      </c>
      <c r="AZ73" s="14">
        <v>46273</v>
      </c>
      <c r="BA73" s="45">
        <v>24.68</v>
      </c>
      <c r="BB73" s="24">
        <v>765</v>
      </c>
      <c r="BC73" s="24">
        <v>0</v>
      </c>
      <c r="BD73" s="24">
        <v>0</v>
      </c>
      <c r="BE73" s="24">
        <f t="shared" si="36"/>
        <v>18880.2</v>
      </c>
      <c r="BF73" s="18">
        <v>0</v>
      </c>
      <c r="BG73" s="13" t="s">
        <v>110</v>
      </c>
      <c r="BH73" s="20">
        <f t="shared" si="21"/>
        <v>18880.2</v>
      </c>
      <c r="BI73" s="24">
        <f t="shared" si="28"/>
        <v>1850259.6</v>
      </c>
      <c r="BJ73" s="18">
        <f t="shared" si="17"/>
        <v>18880.2</v>
      </c>
      <c r="BK73" s="24">
        <f t="shared" si="29"/>
        <v>2187053.1036900003</v>
      </c>
      <c r="BL73" s="24">
        <f t="shared" si="25"/>
        <v>0</v>
      </c>
      <c r="BN73" s="24">
        <v>0</v>
      </c>
      <c r="BO73" s="24">
        <v>0</v>
      </c>
      <c r="BP73" s="24">
        <f t="shared" si="19"/>
        <v>0</v>
      </c>
      <c r="BQ73" s="24"/>
      <c r="BR73" s="13" t="s">
        <v>581</v>
      </c>
      <c r="BS73" s="13" t="s">
        <v>169</v>
      </c>
      <c r="BT73" s="13" t="s">
        <v>124</v>
      </c>
      <c r="BU73" s="16" t="s">
        <v>750</v>
      </c>
      <c r="BV73" s="13" t="s">
        <v>354</v>
      </c>
      <c r="BW73" s="16" t="s">
        <v>355</v>
      </c>
      <c r="BY73" s="13" t="s">
        <v>124</v>
      </c>
      <c r="BZ73" s="24"/>
      <c r="CA73" s="24"/>
      <c r="CB73" s="22" t="s">
        <v>110</v>
      </c>
      <c r="CC73" s="33" t="s">
        <v>110</v>
      </c>
      <c r="CD73" s="18" t="s">
        <v>110</v>
      </c>
      <c r="CE73" s="24" t="s">
        <v>124</v>
      </c>
      <c r="CF73" s="13" t="s">
        <v>124</v>
      </c>
      <c r="CH73" s="13" t="s">
        <v>172</v>
      </c>
      <c r="CI73" s="24"/>
      <c r="CJ73" s="24">
        <f t="shared" si="30"/>
        <v>336793.50368999998</v>
      </c>
      <c r="CK73" s="24"/>
      <c r="CM73" s="24">
        <v>0</v>
      </c>
      <c r="CN73" s="18">
        <f t="shared" si="33"/>
        <v>0</v>
      </c>
      <c r="CO73" s="18">
        <f t="shared" si="23"/>
        <v>0</v>
      </c>
      <c r="CP73" s="24">
        <v>0</v>
      </c>
      <c r="CQ73" s="18">
        <f t="shared" si="34"/>
        <v>0</v>
      </c>
      <c r="CR73" s="24"/>
      <c r="CT73" s="13" t="s">
        <v>110</v>
      </c>
    </row>
    <row r="74" spans="1:100" s="13" customFormat="1" ht="43.2">
      <c r="A74" s="12" t="s">
        <v>288</v>
      </c>
      <c r="B74" s="13" t="str">
        <f t="shared" si="35"/>
        <v>168883</v>
      </c>
      <c r="C74" s="13" t="s">
        <v>571</v>
      </c>
      <c r="D74" s="13" t="s">
        <v>97</v>
      </c>
      <c r="E74" s="13" t="s">
        <v>810</v>
      </c>
      <c r="F74" s="14">
        <v>46298</v>
      </c>
      <c r="G74" s="43">
        <f t="shared" si="26"/>
        <v>46311</v>
      </c>
      <c r="H74" s="15" t="s">
        <v>99</v>
      </c>
      <c r="I74" s="15" t="s">
        <v>172</v>
      </c>
      <c r="J74" s="15" t="s">
        <v>172</v>
      </c>
      <c r="K74" s="14">
        <v>46263</v>
      </c>
      <c r="L74" s="42">
        <v>1620021365</v>
      </c>
      <c r="M74" s="13">
        <f t="shared" si="31"/>
        <v>1</v>
      </c>
      <c r="N74" s="43">
        <v>46197</v>
      </c>
      <c r="O74" s="30" t="s">
        <v>101</v>
      </c>
      <c r="P74" s="16" t="s">
        <v>102</v>
      </c>
      <c r="Q74" s="39" t="s">
        <v>632</v>
      </c>
      <c r="R74" s="42" t="s">
        <v>758</v>
      </c>
      <c r="S74" s="13" t="s">
        <v>634</v>
      </c>
      <c r="T74" s="24">
        <v>400</v>
      </c>
      <c r="U74" s="24">
        <v>765</v>
      </c>
      <c r="V74" s="24">
        <f t="shared" si="32"/>
        <v>306000</v>
      </c>
      <c r="W74" s="24">
        <v>0</v>
      </c>
      <c r="X74" s="18">
        <f t="shared" si="22"/>
        <v>306000</v>
      </c>
      <c r="Y74" s="19">
        <v>8110046581</v>
      </c>
      <c r="Z74" s="14">
        <v>46219</v>
      </c>
      <c r="AA74" s="13" t="s">
        <v>811</v>
      </c>
      <c r="AB74" s="13">
        <v>24.74</v>
      </c>
      <c r="AC74" s="13" t="s">
        <v>110</v>
      </c>
      <c r="AD74" s="13" t="s">
        <v>110</v>
      </c>
      <c r="AE74" s="13" t="s">
        <v>110</v>
      </c>
      <c r="AF74" s="13" t="s">
        <v>110</v>
      </c>
      <c r="AG74" s="13" t="s">
        <v>110</v>
      </c>
      <c r="AH74" s="13" t="s">
        <v>110</v>
      </c>
      <c r="AI74" s="13" t="s">
        <v>110</v>
      </c>
      <c r="AJ74" s="13" t="s">
        <v>110</v>
      </c>
      <c r="AK74" s="13">
        <v>24740</v>
      </c>
      <c r="AL74" s="16" t="s">
        <v>807</v>
      </c>
      <c r="AM74" s="13" t="s">
        <v>112</v>
      </c>
      <c r="AN74" s="16">
        <v>20267</v>
      </c>
      <c r="AO74" s="13" t="s">
        <v>812</v>
      </c>
      <c r="AP74" s="13" t="s">
        <v>115</v>
      </c>
      <c r="AQ74" s="13" t="s">
        <v>116</v>
      </c>
      <c r="AR74" s="13" t="s">
        <v>116</v>
      </c>
      <c r="AS74" s="13">
        <v>72044900</v>
      </c>
      <c r="AT74" s="13" t="s">
        <v>117</v>
      </c>
      <c r="AV74" s="16" t="s">
        <v>119</v>
      </c>
      <c r="AW74" s="24">
        <v>800</v>
      </c>
      <c r="AX74" s="13" t="s">
        <v>813</v>
      </c>
      <c r="AY74" s="13">
        <v>9000103543</v>
      </c>
      <c r="AZ74" s="14">
        <v>46264</v>
      </c>
      <c r="BA74" s="45">
        <v>24.74</v>
      </c>
      <c r="BB74" s="24">
        <v>765</v>
      </c>
      <c r="BC74" s="24">
        <v>0</v>
      </c>
      <c r="BD74" s="24">
        <v>0</v>
      </c>
      <c r="BE74" s="24">
        <f t="shared" si="36"/>
        <v>18926.099999999999</v>
      </c>
      <c r="BF74" s="18">
        <v>0</v>
      </c>
      <c r="BG74" s="13" t="s">
        <v>110</v>
      </c>
      <c r="BH74" s="20">
        <f t="shared" si="21"/>
        <v>18926.099999999999</v>
      </c>
      <c r="BI74" s="24">
        <f t="shared" si="28"/>
        <v>1854757.7999999998</v>
      </c>
      <c r="BJ74" s="18">
        <f t="shared" ref="BJ74:BJ119" si="37">BH74</f>
        <v>18926.099999999999</v>
      </c>
      <c r="BK74" s="24">
        <f t="shared" si="29"/>
        <v>2192370.0885449997</v>
      </c>
      <c r="BL74" s="24">
        <f t="shared" si="25"/>
        <v>0</v>
      </c>
      <c r="BN74" s="24">
        <v>0</v>
      </c>
      <c r="BO74" s="24">
        <v>0</v>
      </c>
      <c r="BP74" s="24">
        <f t="shared" si="19"/>
        <v>0</v>
      </c>
      <c r="BQ74" s="24"/>
      <c r="BR74" s="13" t="s">
        <v>581</v>
      </c>
      <c r="BS74" s="13" t="s">
        <v>169</v>
      </c>
      <c r="BT74" s="13" t="s">
        <v>124</v>
      </c>
      <c r="BU74" s="16" t="s">
        <v>750</v>
      </c>
      <c r="BV74" s="16" t="s">
        <v>258</v>
      </c>
      <c r="BW74" s="16" t="s">
        <v>127</v>
      </c>
      <c r="BY74" s="13" t="s">
        <v>124</v>
      </c>
      <c r="BZ74" s="24"/>
      <c r="CA74" s="24"/>
      <c r="CB74" s="22" t="s">
        <v>110</v>
      </c>
      <c r="CC74" s="33" t="s">
        <v>110</v>
      </c>
      <c r="CD74" s="18" t="s">
        <v>110</v>
      </c>
      <c r="CE74" s="24" t="s">
        <v>124</v>
      </c>
      <c r="CF74" s="13" t="s">
        <v>124</v>
      </c>
      <c r="CH74" s="13" t="s">
        <v>172</v>
      </c>
      <c r="CI74" s="24"/>
      <c r="CJ74" s="24">
        <f t="shared" si="30"/>
        <v>337612.28854499996</v>
      </c>
      <c r="CK74" s="24"/>
      <c r="CM74" s="24">
        <v>0</v>
      </c>
      <c r="CN74" s="18">
        <f t="shared" si="33"/>
        <v>0</v>
      </c>
      <c r="CO74" s="18">
        <f t="shared" si="23"/>
        <v>0</v>
      </c>
      <c r="CP74" s="24">
        <v>0</v>
      </c>
      <c r="CQ74" s="18">
        <f t="shared" si="34"/>
        <v>0</v>
      </c>
      <c r="CR74" s="24"/>
      <c r="CT74" s="13" t="s">
        <v>110</v>
      </c>
    </row>
    <row r="75" spans="1:100" s="13" customFormat="1" ht="43.2">
      <c r="A75" s="12" t="s">
        <v>288</v>
      </c>
      <c r="B75" s="13" t="str">
        <f t="shared" si="35"/>
        <v>006442</v>
      </c>
      <c r="C75" s="13" t="s">
        <v>571</v>
      </c>
      <c r="D75" s="13" t="s">
        <v>97</v>
      </c>
      <c r="E75" s="13">
        <v>272006442</v>
      </c>
      <c r="F75" s="14">
        <v>46280</v>
      </c>
      <c r="G75" s="43">
        <f t="shared" si="26"/>
        <v>46293</v>
      </c>
      <c r="H75" s="15" t="s">
        <v>99</v>
      </c>
      <c r="I75" s="15" t="s">
        <v>100</v>
      </c>
      <c r="J75" s="15" t="s">
        <v>100</v>
      </c>
      <c r="K75" s="14">
        <v>46282</v>
      </c>
      <c r="L75" s="42">
        <v>1620021365</v>
      </c>
      <c r="M75" s="13">
        <f t="shared" si="31"/>
        <v>2</v>
      </c>
      <c r="N75" s="43">
        <v>46197</v>
      </c>
      <c r="O75" s="30" t="s">
        <v>101</v>
      </c>
      <c r="P75" s="16" t="s">
        <v>102</v>
      </c>
      <c r="Q75" s="39" t="s">
        <v>632</v>
      </c>
      <c r="R75" s="42" t="s">
        <v>758</v>
      </c>
      <c r="S75" s="13" t="s">
        <v>634</v>
      </c>
      <c r="T75" s="24">
        <v>400</v>
      </c>
      <c r="U75" s="24">
        <v>765</v>
      </c>
      <c r="V75" s="24">
        <f t="shared" si="32"/>
        <v>306000</v>
      </c>
      <c r="W75" s="24">
        <v>0</v>
      </c>
      <c r="X75" s="18">
        <f t="shared" si="22"/>
        <v>306000</v>
      </c>
      <c r="Y75" s="19" t="s">
        <v>814</v>
      </c>
      <c r="Z75" s="14">
        <v>46198</v>
      </c>
      <c r="AA75" s="13" t="s">
        <v>815</v>
      </c>
      <c r="AB75" s="13">
        <v>25.13</v>
      </c>
      <c r="AC75" s="13" t="s">
        <v>816</v>
      </c>
      <c r="AD75" s="13">
        <v>24.71</v>
      </c>
      <c r="AE75" s="13" t="s">
        <v>110</v>
      </c>
      <c r="AF75" s="13" t="s">
        <v>110</v>
      </c>
      <c r="AG75" s="13" t="s">
        <v>110</v>
      </c>
      <c r="AH75" s="13" t="s">
        <v>110</v>
      </c>
      <c r="AI75" s="13" t="s">
        <v>110</v>
      </c>
      <c r="AJ75" s="13" t="s">
        <v>110</v>
      </c>
      <c r="AK75" s="13">
        <v>49840</v>
      </c>
      <c r="AL75" s="13" t="s">
        <v>817</v>
      </c>
      <c r="AM75" s="13" t="s">
        <v>112</v>
      </c>
      <c r="AN75" s="16" t="s">
        <v>818</v>
      </c>
      <c r="AO75" s="13" t="s">
        <v>819</v>
      </c>
      <c r="AP75" s="13" t="s">
        <v>115</v>
      </c>
      <c r="AQ75" s="13" t="s">
        <v>116</v>
      </c>
      <c r="AR75" s="13" t="s">
        <v>116</v>
      </c>
      <c r="AS75" s="13">
        <v>72044900</v>
      </c>
      <c r="AT75" s="13" t="s">
        <v>117</v>
      </c>
      <c r="AU75" s="13" t="s">
        <v>820</v>
      </c>
      <c r="AV75" s="16" t="s">
        <v>119</v>
      </c>
      <c r="AW75" s="24">
        <v>800</v>
      </c>
      <c r="AX75" s="13" t="s">
        <v>821</v>
      </c>
      <c r="AY75" s="16" t="s">
        <v>822</v>
      </c>
      <c r="AZ75" s="14">
        <v>46266</v>
      </c>
      <c r="BA75" s="45">
        <v>49.84</v>
      </c>
      <c r="BB75" s="24">
        <v>765</v>
      </c>
      <c r="BC75" s="24">
        <v>0</v>
      </c>
      <c r="BD75" s="24">
        <v>95.64</v>
      </c>
      <c r="BE75" s="24">
        <f t="shared" si="36"/>
        <v>38127.600000000006</v>
      </c>
      <c r="BF75" s="18">
        <v>0</v>
      </c>
      <c r="BG75" s="13" t="s">
        <v>110</v>
      </c>
      <c r="BH75" s="20">
        <f t="shared" si="21"/>
        <v>38127.599999999999</v>
      </c>
      <c r="BI75" s="24">
        <f t="shared" si="28"/>
        <v>3736504.8</v>
      </c>
      <c r="BJ75" s="18">
        <f t="shared" si="37"/>
        <v>38127.599999999999</v>
      </c>
      <c r="BK75" s="24">
        <f t="shared" si="29"/>
        <v>4416642.0862199999</v>
      </c>
      <c r="BL75" s="24">
        <f>BJ75*BD75</f>
        <v>3646523.6639999999</v>
      </c>
      <c r="BM75" s="14">
        <v>59429</v>
      </c>
      <c r="BN75" s="24">
        <v>0</v>
      </c>
      <c r="BO75" s="24">
        <v>0</v>
      </c>
      <c r="BP75" s="24">
        <f t="shared" si="19"/>
        <v>0</v>
      </c>
      <c r="BQ75" s="24">
        <v>4558.1499999999996</v>
      </c>
      <c r="BR75" s="13" t="s">
        <v>122</v>
      </c>
      <c r="BS75" s="13" t="s">
        <v>123</v>
      </c>
      <c r="BT75" s="13" t="s">
        <v>124</v>
      </c>
      <c r="BU75" s="13" t="s">
        <v>222</v>
      </c>
      <c r="BV75" s="13" t="s">
        <v>258</v>
      </c>
      <c r="BW75" s="16" t="s">
        <v>127</v>
      </c>
      <c r="BY75" s="13" t="s">
        <v>124</v>
      </c>
      <c r="BZ75" s="24">
        <v>37110</v>
      </c>
      <c r="CA75" s="18" t="s">
        <v>130</v>
      </c>
      <c r="CB75" s="22" t="s">
        <v>110</v>
      </c>
      <c r="CC75" s="33" t="s">
        <v>110</v>
      </c>
      <c r="CD75" s="18" t="s">
        <v>110</v>
      </c>
      <c r="CE75" s="24" t="s">
        <v>124</v>
      </c>
      <c r="CF75" s="13" t="s">
        <v>124</v>
      </c>
      <c r="CG75" s="13">
        <v>3844003</v>
      </c>
      <c r="CH75" s="13" t="s">
        <v>172</v>
      </c>
      <c r="CI75" s="24">
        <v>95.25</v>
      </c>
      <c r="CJ75" s="24">
        <f t="shared" si="30"/>
        <v>680137.28621999989</v>
      </c>
      <c r="CK75" s="24">
        <v>38127.599999999999</v>
      </c>
      <c r="CL75" s="13">
        <f>CI75*CK75</f>
        <v>3631653.9</v>
      </c>
      <c r="CM75" s="24">
        <v>0</v>
      </c>
      <c r="CN75" s="18">
        <f t="shared" si="33"/>
        <v>3631653.9</v>
      </c>
      <c r="CO75" s="18">
        <f t="shared" si="23"/>
        <v>653698</v>
      </c>
      <c r="CP75" s="24">
        <v>0</v>
      </c>
      <c r="CQ75" s="18">
        <f t="shared" si="34"/>
        <v>653698</v>
      </c>
      <c r="CR75" s="24"/>
      <c r="CT75" s="13" t="s">
        <v>110</v>
      </c>
      <c r="CU75" s="13" t="s">
        <v>823</v>
      </c>
    </row>
    <row r="76" spans="1:100" s="13" customFormat="1" ht="43.2">
      <c r="A76" s="12" t="s">
        <v>288</v>
      </c>
      <c r="B76" s="13" t="str">
        <f t="shared" si="35"/>
        <v>850689</v>
      </c>
      <c r="C76" s="13" t="s">
        <v>96</v>
      </c>
      <c r="D76" s="13" t="s">
        <v>97</v>
      </c>
      <c r="E76" s="13">
        <v>272850689</v>
      </c>
      <c r="F76" s="14">
        <v>46244</v>
      </c>
      <c r="G76" s="14">
        <v>46257</v>
      </c>
      <c r="H76" s="15" t="s">
        <v>99</v>
      </c>
      <c r="I76" s="15" t="s">
        <v>100</v>
      </c>
      <c r="J76" s="15" t="s">
        <v>100</v>
      </c>
      <c r="K76" s="43">
        <v>46206</v>
      </c>
      <c r="L76" s="13">
        <v>1620021375</v>
      </c>
      <c r="M76" s="13">
        <f t="shared" si="31"/>
        <v>1</v>
      </c>
      <c r="N76" s="43">
        <v>46197</v>
      </c>
      <c r="O76" s="30" t="s">
        <v>101</v>
      </c>
      <c r="P76" s="16" t="s">
        <v>102</v>
      </c>
      <c r="Q76" s="17" t="s">
        <v>824</v>
      </c>
      <c r="R76" s="13" t="s">
        <v>825</v>
      </c>
      <c r="S76" s="13" t="s">
        <v>826</v>
      </c>
      <c r="T76" s="24">
        <v>22</v>
      </c>
      <c r="U76" s="24">
        <v>2800</v>
      </c>
      <c r="V76" s="24">
        <f t="shared" si="32"/>
        <v>61600</v>
      </c>
      <c r="W76" s="24">
        <v>0</v>
      </c>
      <c r="X76" s="18">
        <f t="shared" si="22"/>
        <v>61600</v>
      </c>
      <c r="Y76" s="28">
        <v>8110046463</v>
      </c>
      <c r="Z76" s="14">
        <v>46210</v>
      </c>
      <c r="AA76" s="13" t="s">
        <v>827</v>
      </c>
      <c r="AB76" s="13">
        <v>24.19</v>
      </c>
      <c r="AC76" s="13" t="s">
        <v>110</v>
      </c>
      <c r="AD76" s="13" t="s">
        <v>110</v>
      </c>
      <c r="AE76" s="13" t="s">
        <v>110</v>
      </c>
      <c r="AF76" s="13" t="s">
        <v>110</v>
      </c>
      <c r="AG76" s="13" t="s">
        <v>110</v>
      </c>
      <c r="AH76" s="13" t="s">
        <v>110</v>
      </c>
      <c r="AI76" s="13" t="s">
        <v>110</v>
      </c>
      <c r="AJ76" s="13" t="s">
        <v>110</v>
      </c>
      <c r="AK76" s="13">
        <v>24190</v>
      </c>
      <c r="AL76" s="13" t="s">
        <v>828</v>
      </c>
      <c r="AM76" s="13" t="s">
        <v>112</v>
      </c>
      <c r="AN76" s="47" t="s">
        <v>829</v>
      </c>
      <c r="AO76" s="16" t="s">
        <v>671</v>
      </c>
      <c r="AP76" s="13" t="s">
        <v>115</v>
      </c>
      <c r="AQ76" s="13" t="s">
        <v>116</v>
      </c>
      <c r="AR76" s="13" t="s">
        <v>116</v>
      </c>
      <c r="AS76" s="13">
        <v>72044900</v>
      </c>
      <c r="AT76" s="13" t="s">
        <v>117</v>
      </c>
      <c r="AU76" s="13" t="s">
        <v>830</v>
      </c>
      <c r="AV76" s="13" t="s">
        <v>119</v>
      </c>
      <c r="AW76" s="24">
        <v>800</v>
      </c>
      <c r="AX76" s="13" t="s">
        <v>831</v>
      </c>
      <c r="AY76" s="13">
        <v>9000102812</v>
      </c>
      <c r="AZ76" s="14">
        <v>46231</v>
      </c>
      <c r="BA76" s="45">
        <v>24.19</v>
      </c>
      <c r="BB76" s="24">
        <v>2800</v>
      </c>
      <c r="BC76" s="24">
        <v>0</v>
      </c>
      <c r="BD76" s="24">
        <v>95.497500000000002</v>
      </c>
      <c r="BE76" s="24">
        <f t="shared" si="36"/>
        <v>67732</v>
      </c>
      <c r="BF76" s="18">
        <v>0</v>
      </c>
      <c r="BG76" s="13" t="s">
        <v>110</v>
      </c>
      <c r="BH76" s="20">
        <f t="shared" si="21"/>
        <v>67732</v>
      </c>
      <c r="BI76" s="24">
        <f t="shared" si="28"/>
        <v>6637736</v>
      </c>
      <c r="BJ76" s="18">
        <f t="shared" si="37"/>
        <v>67732</v>
      </c>
      <c r="BK76" s="24">
        <f t="shared" si="29"/>
        <v>7845969.8953999998</v>
      </c>
      <c r="BL76" s="24">
        <f t="shared" si="25"/>
        <v>6468236.6699999999</v>
      </c>
      <c r="BM76" s="14">
        <v>46245</v>
      </c>
      <c r="BN76" s="24">
        <v>0</v>
      </c>
      <c r="BO76" s="24">
        <v>0</v>
      </c>
      <c r="BP76" s="24">
        <f t="shared" si="19"/>
        <v>0</v>
      </c>
      <c r="BQ76" s="24">
        <f>10968.24+3272.28</f>
        <v>14240.52</v>
      </c>
      <c r="BR76" s="13" t="s">
        <v>122</v>
      </c>
      <c r="BS76" s="13" t="s">
        <v>169</v>
      </c>
      <c r="BT76" s="13" t="s">
        <v>124</v>
      </c>
      <c r="BU76" s="13" t="s">
        <v>222</v>
      </c>
      <c r="BV76" s="13" t="s">
        <v>832</v>
      </c>
      <c r="BW76" s="16" t="s">
        <v>355</v>
      </c>
      <c r="BX76" s="13">
        <v>246</v>
      </c>
      <c r="BY76" s="13" t="s">
        <v>124</v>
      </c>
      <c r="BZ76" s="24">
        <v>30910</v>
      </c>
      <c r="CA76" s="18" t="s">
        <v>130</v>
      </c>
      <c r="CB76" s="22" t="s">
        <v>110</v>
      </c>
      <c r="CC76" s="33" t="s">
        <v>110</v>
      </c>
      <c r="CD76" s="18" t="s">
        <v>110</v>
      </c>
      <c r="CE76" s="24" t="s">
        <v>124</v>
      </c>
      <c r="CF76" s="13" t="s">
        <v>124</v>
      </c>
      <c r="CG76" s="13">
        <v>2997914</v>
      </c>
      <c r="CH76" s="13" t="s">
        <v>100</v>
      </c>
      <c r="CI76" s="24">
        <v>96.05</v>
      </c>
      <c r="CJ76" s="24">
        <f t="shared" si="30"/>
        <v>1208233.8954</v>
      </c>
      <c r="CK76" s="24">
        <v>67732</v>
      </c>
      <c r="CL76" s="24">
        <f>ROUND(CK76*CI76,0)</f>
        <v>6505659</v>
      </c>
      <c r="CM76" s="24">
        <v>0</v>
      </c>
      <c r="CN76" s="18">
        <f t="shared" si="33"/>
        <v>6505659</v>
      </c>
      <c r="CO76" s="18">
        <f t="shared" si="23"/>
        <v>1171019</v>
      </c>
      <c r="CP76" s="24">
        <v>1444</v>
      </c>
      <c r="CQ76" s="18">
        <f t="shared" si="34"/>
        <v>1172463</v>
      </c>
      <c r="CR76" s="24">
        <f>17000+13800+15000+177+7680+5310+800+1000</f>
        <v>60767</v>
      </c>
      <c r="CS76" s="14">
        <v>46248</v>
      </c>
      <c r="CT76" s="13" t="s">
        <v>110</v>
      </c>
      <c r="CU76" s="13" t="s">
        <v>833</v>
      </c>
    </row>
    <row r="77" spans="1:100" s="13" customFormat="1" ht="43.2">
      <c r="A77" s="12" t="s">
        <v>288</v>
      </c>
      <c r="B77" s="13" t="str">
        <f t="shared" si="35"/>
        <v>093055</v>
      </c>
      <c r="C77" s="13" t="s">
        <v>571</v>
      </c>
      <c r="D77" s="13" t="s">
        <v>97</v>
      </c>
      <c r="E77" s="13" t="s">
        <v>834</v>
      </c>
      <c r="F77" s="14">
        <v>46122</v>
      </c>
      <c r="G77" s="43">
        <f>F77+13</f>
        <v>46135</v>
      </c>
      <c r="H77" s="15" t="s">
        <v>99</v>
      </c>
      <c r="I77" s="15"/>
      <c r="J77" s="15"/>
      <c r="L77" s="13">
        <v>1620021428</v>
      </c>
      <c r="M77" s="13">
        <f t="shared" si="31"/>
        <v>0</v>
      </c>
      <c r="N77" s="43">
        <v>46212</v>
      </c>
      <c r="O77" s="30" t="s">
        <v>101</v>
      </c>
      <c r="P77" s="16" t="s">
        <v>102</v>
      </c>
      <c r="Q77" s="17" t="s">
        <v>835</v>
      </c>
      <c r="R77" s="13" t="s">
        <v>548</v>
      </c>
      <c r="S77" s="13" t="s">
        <v>549</v>
      </c>
      <c r="T77" s="24">
        <v>50</v>
      </c>
      <c r="U77" s="24">
        <v>3050</v>
      </c>
      <c r="V77" s="24">
        <f t="shared" si="32"/>
        <v>152500</v>
      </c>
      <c r="W77" s="24">
        <v>0</v>
      </c>
      <c r="X77" s="18">
        <f t="shared" si="22"/>
        <v>152500</v>
      </c>
      <c r="Y77" s="28">
        <v>8110046512</v>
      </c>
      <c r="Z77" s="14">
        <v>46215</v>
      </c>
      <c r="AA77" s="13" t="s">
        <v>836</v>
      </c>
      <c r="AB77" s="41">
        <v>25.7</v>
      </c>
      <c r="AC77" s="13" t="s">
        <v>110</v>
      </c>
      <c r="AD77" s="13" t="s">
        <v>110</v>
      </c>
      <c r="AE77" s="13" t="s">
        <v>110</v>
      </c>
      <c r="AF77" s="13" t="s">
        <v>110</v>
      </c>
      <c r="AG77" s="13" t="s">
        <v>110</v>
      </c>
      <c r="AH77" s="13" t="s">
        <v>110</v>
      </c>
      <c r="AI77" s="13" t="s">
        <v>110</v>
      </c>
      <c r="AJ77" s="13" t="s">
        <v>110</v>
      </c>
      <c r="AL77" s="13" t="s">
        <v>837</v>
      </c>
      <c r="AM77" s="13" t="s">
        <v>112</v>
      </c>
      <c r="AN77" s="16">
        <v>20338</v>
      </c>
      <c r="AP77" s="13" t="s">
        <v>115</v>
      </c>
      <c r="AQ77" s="13" t="s">
        <v>116</v>
      </c>
      <c r="AR77" s="13" t="s">
        <v>116</v>
      </c>
      <c r="AS77" s="13">
        <v>72044900</v>
      </c>
      <c r="AT77" s="13" t="s">
        <v>117</v>
      </c>
      <c r="AW77" s="24"/>
      <c r="BA77" s="45"/>
      <c r="BB77" s="24"/>
      <c r="BC77" s="24">
        <v>0</v>
      </c>
      <c r="BD77" s="24">
        <v>0</v>
      </c>
      <c r="BE77" s="24">
        <f t="shared" si="36"/>
        <v>0</v>
      </c>
      <c r="BF77" s="18">
        <v>0</v>
      </c>
      <c r="BG77" s="13" t="s">
        <v>110</v>
      </c>
      <c r="BH77" s="20">
        <f t="shared" si="21"/>
        <v>0</v>
      </c>
      <c r="BI77" s="24">
        <f t="shared" si="28"/>
        <v>0</v>
      </c>
      <c r="BJ77" s="18">
        <f t="shared" si="37"/>
        <v>0</v>
      </c>
      <c r="BK77" s="24">
        <f t="shared" si="29"/>
        <v>0</v>
      </c>
      <c r="BL77" s="24">
        <f t="shared" si="25"/>
        <v>0</v>
      </c>
      <c r="BN77" s="24">
        <v>0</v>
      </c>
      <c r="BO77" s="24">
        <v>0</v>
      </c>
      <c r="BP77" s="24">
        <f t="shared" si="19"/>
        <v>0</v>
      </c>
      <c r="BQ77" s="24"/>
      <c r="BR77" s="13" t="s">
        <v>581</v>
      </c>
      <c r="BS77" s="13" t="s">
        <v>169</v>
      </c>
      <c r="BT77" s="13" t="s">
        <v>124</v>
      </c>
      <c r="BU77" s="13" t="s">
        <v>299</v>
      </c>
      <c r="BV77" s="13" t="s">
        <v>258</v>
      </c>
      <c r="BW77" s="16" t="s">
        <v>127</v>
      </c>
      <c r="BY77" s="13" t="s">
        <v>124</v>
      </c>
      <c r="BZ77" s="24"/>
      <c r="CA77" s="24"/>
      <c r="CB77" s="22" t="s">
        <v>110</v>
      </c>
      <c r="CC77" s="33" t="s">
        <v>110</v>
      </c>
      <c r="CD77" s="18" t="s">
        <v>110</v>
      </c>
      <c r="CE77" s="24" t="s">
        <v>124</v>
      </c>
      <c r="CF77" s="13" t="s">
        <v>124</v>
      </c>
      <c r="CH77" s="13" t="s">
        <v>172</v>
      </c>
      <c r="CI77" s="24"/>
      <c r="CJ77" s="24">
        <f t="shared" si="30"/>
        <v>0</v>
      </c>
      <c r="CK77" s="24"/>
      <c r="CM77" s="24">
        <v>0</v>
      </c>
      <c r="CN77" s="18">
        <f t="shared" si="33"/>
        <v>0</v>
      </c>
      <c r="CO77" s="18">
        <f t="shared" si="23"/>
        <v>0</v>
      </c>
      <c r="CP77" s="24">
        <v>0</v>
      </c>
      <c r="CQ77" s="18">
        <f t="shared" si="34"/>
        <v>0</v>
      </c>
      <c r="CR77" s="24"/>
      <c r="CT77" s="13" t="s">
        <v>110</v>
      </c>
    </row>
    <row r="78" spans="1:100" s="13" customFormat="1" ht="43.2">
      <c r="A78" s="12" t="s">
        <v>288</v>
      </c>
      <c r="B78" s="13" t="str">
        <f t="shared" si="35"/>
        <v/>
      </c>
      <c r="C78" s="13" t="s">
        <v>571</v>
      </c>
      <c r="D78" s="13" t="s">
        <v>97</v>
      </c>
      <c r="G78" s="14"/>
      <c r="H78" s="15" t="s">
        <v>99</v>
      </c>
      <c r="I78" s="15"/>
      <c r="J78" s="15"/>
      <c r="L78" s="13">
        <v>1620021464</v>
      </c>
      <c r="M78" s="13">
        <f t="shared" si="31"/>
        <v>0</v>
      </c>
      <c r="N78" s="43">
        <v>46217</v>
      </c>
      <c r="O78" s="30"/>
      <c r="P78" s="16" t="s">
        <v>102</v>
      </c>
      <c r="Q78" s="17" t="s">
        <v>838</v>
      </c>
      <c r="R78" s="13" t="s">
        <v>725</v>
      </c>
      <c r="S78" s="13" t="s">
        <v>274</v>
      </c>
      <c r="T78" s="24">
        <v>100</v>
      </c>
      <c r="U78" s="24">
        <v>1430</v>
      </c>
      <c r="V78" s="24">
        <f t="shared" si="32"/>
        <v>143000</v>
      </c>
      <c r="W78" s="24">
        <v>0</v>
      </c>
      <c r="X78" s="18">
        <f t="shared" si="22"/>
        <v>143000</v>
      </c>
      <c r="Y78" s="28"/>
      <c r="Z78" s="14"/>
      <c r="AB78" s="41"/>
      <c r="AC78" s="13" t="s">
        <v>110</v>
      </c>
      <c r="AD78" s="13" t="s">
        <v>110</v>
      </c>
      <c r="AE78" s="13" t="s">
        <v>110</v>
      </c>
      <c r="AF78" s="13" t="s">
        <v>110</v>
      </c>
      <c r="AG78" s="13" t="s">
        <v>110</v>
      </c>
      <c r="AH78" s="13" t="s">
        <v>110</v>
      </c>
      <c r="AI78" s="13" t="s">
        <v>110</v>
      </c>
      <c r="AJ78" s="13" t="s">
        <v>110</v>
      </c>
      <c r="AL78" s="13" t="s">
        <v>110</v>
      </c>
      <c r="AM78" s="13" t="s">
        <v>112</v>
      </c>
      <c r="AN78" s="16"/>
      <c r="AQ78" s="13" t="s">
        <v>116</v>
      </c>
      <c r="AR78" s="13" t="s">
        <v>116</v>
      </c>
      <c r="AS78" s="13">
        <v>72044900</v>
      </c>
      <c r="AT78" s="13" t="s">
        <v>117</v>
      </c>
      <c r="AW78" s="24"/>
      <c r="BA78" s="45"/>
      <c r="BB78" s="24"/>
      <c r="BC78" s="24">
        <v>0</v>
      </c>
      <c r="BD78" s="24">
        <v>0</v>
      </c>
      <c r="BE78" s="24">
        <f t="shared" si="36"/>
        <v>0</v>
      </c>
      <c r="BF78" s="18">
        <v>0</v>
      </c>
      <c r="BG78" s="13" t="s">
        <v>110</v>
      </c>
      <c r="BH78" s="20">
        <f t="shared" ref="BH78" si="38">_xlfn.NUMBERVALUE(BE107)</f>
        <v>51170.343840000001</v>
      </c>
      <c r="BI78" s="24">
        <f t="shared" si="28"/>
        <v>5014693.6963200001</v>
      </c>
      <c r="BJ78" s="18">
        <f t="shared" si="37"/>
        <v>51170.343840000001</v>
      </c>
      <c r="BK78" s="24">
        <f t="shared" si="29"/>
        <v>5014693.6963200001</v>
      </c>
      <c r="BL78" s="24">
        <f t="shared" si="25"/>
        <v>0</v>
      </c>
      <c r="BN78" s="24">
        <v>0</v>
      </c>
      <c r="BO78" s="24">
        <v>0</v>
      </c>
      <c r="BP78" s="24">
        <f t="shared" si="19"/>
        <v>0</v>
      </c>
      <c r="BQ78" s="24"/>
      <c r="BR78" s="13" t="s">
        <v>581</v>
      </c>
      <c r="BS78" s="13" t="s">
        <v>169</v>
      </c>
      <c r="BT78" s="13" t="s">
        <v>124</v>
      </c>
      <c r="BW78" s="16"/>
      <c r="BY78" s="13" t="s">
        <v>124</v>
      </c>
      <c r="BZ78" s="24"/>
      <c r="CA78" s="24"/>
      <c r="CB78" s="22" t="s">
        <v>110</v>
      </c>
      <c r="CC78" s="33" t="s">
        <v>110</v>
      </c>
      <c r="CD78" s="18" t="s">
        <v>110</v>
      </c>
      <c r="CE78" s="24" t="s">
        <v>124</v>
      </c>
      <c r="CF78" s="13" t="s">
        <v>124</v>
      </c>
      <c r="CH78" s="13" t="s">
        <v>172</v>
      </c>
      <c r="CI78" s="24"/>
      <c r="CJ78" s="24">
        <f t="shared" si="30"/>
        <v>0</v>
      </c>
      <c r="CK78" s="24"/>
      <c r="CM78" s="24">
        <v>0</v>
      </c>
      <c r="CN78" s="18">
        <f t="shared" si="33"/>
        <v>0</v>
      </c>
      <c r="CO78" s="18">
        <f t="shared" si="23"/>
        <v>0</v>
      </c>
      <c r="CP78" s="24">
        <v>0</v>
      </c>
      <c r="CQ78" s="18">
        <f t="shared" si="34"/>
        <v>0</v>
      </c>
      <c r="CR78" s="24"/>
      <c r="CT78" s="13" t="s">
        <v>110</v>
      </c>
    </row>
    <row r="79" spans="1:100" s="13" customFormat="1" ht="43.2">
      <c r="A79" s="12" t="s">
        <v>288</v>
      </c>
      <c r="B79" s="13" t="str">
        <f t="shared" si="35"/>
        <v>093561</v>
      </c>
      <c r="C79" s="13" t="s">
        <v>571</v>
      </c>
      <c r="D79" s="13" t="s">
        <v>97</v>
      </c>
      <c r="E79" s="32" t="s">
        <v>839</v>
      </c>
      <c r="F79" s="14">
        <v>46122</v>
      </c>
      <c r="G79" s="14">
        <f>F79+13</f>
        <v>46135</v>
      </c>
      <c r="H79" s="15" t="s">
        <v>99</v>
      </c>
      <c r="I79" s="15"/>
      <c r="J79" s="15"/>
      <c r="L79" s="13">
        <v>1620021477</v>
      </c>
      <c r="M79" s="13">
        <f t="shared" si="31"/>
        <v>0</v>
      </c>
      <c r="N79" s="43">
        <v>46219</v>
      </c>
      <c r="O79" s="30"/>
      <c r="P79" s="16" t="s">
        <v>102</v>
      </c>
      <c r="Q79" s="17" t="s">
        <v>840</v>
      </c>
      <c r="R79" s="13" t="s">
        <v>825</v>
      </c>
      <c r="S79" s="13" t="s">
        <v>826</v>
      </c>
      <c r="T79" s="24">
        <v>22</v>
      </c>
      <c r="U79" s="24">
        <v>2600</v>
      </c>
      <c r="V79" s="24">
        <f t="shared" si="32"/>
        <v>57200</v>
      </c>
      <c r="W79" s="24">
        <v>0</v>
      </c>
      <c r="X79" s="18">
        <f t="shared" si="22"/>
        <v>57200</v>
      </c>
      <c r="Y79" s="28">
        <v>8110046640</v>
      </c>
      <c r="Z79" s="14">
        <v>46224</v>
      </c>
      <c r="AA79" s="13" t="s">
        <v>841</v>
      </c>
      <c r="AB79" s="41">
        <v>24.68</v>
      </c>
      <c r="AC79" s="13" t="s">
        <v>110</v>
      </c>
      <c r="AD79" s="13" t="s">
        <v>110</v>
      </c>
      <c r="AE79" s="13" t="s">
        <v>110</v>
      </c>
      <c r="AF79" s="13" t="s">
        <v>110</v>
      </c>
      <c r="AG79" s="13" t="s">
        <v>110</v>
      </c>
      <c r="AH79" s="13" t="s">
        <v>110</v>
      </c>
      <c r="AI79" s="13" t="s">
        <v>110</v>
      </c>
      <c r="AJ79" s="13" t="s">
        <v>110</v>
      </c>
      <c r="AL79" s="13" t="s">
        <v>110</v>
      </c>
      <c r="AM79" s="13" t="s">
        <v>112</v>
      </c>
      <c r="AN79" s="16"/>
      <c r="AQ79" s="13" t="s">
        <v>116</v>
      </c>
      <c r="AR79" s="13" t="s">
        <v>116</v>
      </c>
      <c r="AS79" s="13">
        <v>72042190</v>
      </c>
      <c r="AT79" s="13" t="s">
        <v>117</v>
      </c>
      <c r="AW79" s="24"/>
      <c r="BA79" s="45"/>
      <c r="BB79" s="24"/>
      <c r="BC79" s="24">
        <v>0</v>
      </c>
      <c r="BD79" s="24">
        <v>0</v>
      </c>
      <c r="BE79" s="24">
        <f t="shared" si="36"/>
        <v>0</v>
      </c>
      <c r="BF79" s="18">
        <v>0</v>
      </c>
      <c r="BG79" s="13" t="s">
        <v>110</v>
      </c>
      <c r="BH79" s="20">
        <f>_xlfn.NUMBERVALUE(BE110)</f>
        <v>10528840</v>
      </c>
      <c r="BI79" s="24">
        <f t="shared" si="28"/>
        <v>1031826320</v>
      </c>
      <c r="BJ79" s="18">
        <f t="shared" si="37"/>
        <v>10528840</v>
      </c>
      <c r="BK79" s="24">
        <f t="shared" si="29"/>
        <v>1031826320</v>
      </c>
      <c r="BL79" s="24">
        <f t="shared" si="25"/>
        <v>0</v>
      </c>
      <c r="BN79" s="24">
        <v>0</v>
      </c>
      <c r="BO79" s="24">
        <v>0</v>
      </c>
      <c r="BP79" s="24">
        <f t="shared" si="19"/>
        <v>0</v>
      </c>
      <c r="BQ79" s="24"/>
      <c r="BR79" s="13" t="s">
        <v>581</v>
      </c>
      <c r="BS79" s="13" t="s">
        <v>169</v>
      </c>
      <c r="BT79" s="13" t="s">
        <v>124</v>
      </c>
      <c r="BU79" s="13" t="s">
        <v>299</v>
      </c>
      <c r="BV79" s="13" t="s">
        <v>258</v>
      </c>
      <c r="BW79" s="16" t="s">
        <v>127</v>
      </c>
      <c r="BY79" s="13" t="s">
        <v>124</v>
      </c>
      <c r="BZ79" s="24"/>
      <c r="CA79" s="24"/>
      <c r="CB79" s="22" t="s">
        <v>110</v>
      </c>
      <c r="CC79" s="33" t="s">
        <v>110</v>
      </c>
      <c r="CD79" s="18" t="s">
        <v>110</v>
      </c>
      <c r="CE79" s="24" t="s">
        <v>124</v>
      </c>
      <c r="CF79" s="13" t="s">
        <v>124</v>
      </c>
      <c r="CH79" s="13" t="s">
        <v>172</v>
      </c>
      <c r="CI79" s="24"/>
      <c r="CJ79" s="24">
        <f t="shared" si="30"/>
        <v>0</v>
      </c>
      <c r="CK79" s="24"/>
      <c r="CM79" s="24">
        <v>0</v>
      </c>
      <c r="CN79" s="18">
        <f t="shared" si="33"/>
        <v>0</v>
      </c>
      <c r="CO79" s="18">
        <f t="shared" si="23"/>
        <v>0</v>
      </c>
      <c r="CP79" s="24">
        <v>0</v>
      </c>
      <c r="CQ79" s="18">
        <f t="shared" si="34"/>
        <v>0</v>
      </c>
      <c r="CR79" s="24"/>
      <c r="CT79" s="13" t="s">
        <v>110</v>
      </c>
    </row>
    <row r="80" spans="1:100" s="13" customFormat="1" ht="43.2">
      <c r="A80" s="12" t="s">
        <v>288</v>
      </c>
      <c r="B80" s="13" t="str">
        <f t="shared" si="35"/>
        <v/>
      </c>
      <c r="C80" s="13" t="s">
        <v>571</v>
      </c>
      <c r="D80" s="13" t="s">
        <v>97</v>
      </c>
      <c r="G80" s="14"/>
      <c r="H80" s="15" t="s">
        <v>99</v>
      </c>
      <c r="I80" s="15"/>
      <c r="J80" s="15"/>
      <c r="L80" s="13">
        <v>1620021501</v>
      </c>
      <c r="M80" s="13">
        <f t="shared" si="31"/>
        <v>0</v>
      </c>
      <c r="N80" s="43">
        <v>46224</v>
      </c>
      <c r="O80" s="30"/>
      <c r="P80" s="16" t="s">
        <v>102</v>
      </c>
      <c r="Q80" s="17" t="s">
        <v>842</v>
      </c>
      <c r="R80" s="13" t="s">
        <v>843</v>
      </c>
      <c r="S80" s="13" t="s">
        <v>305</v>
      </c>
      <c r="T80" s="24">
        <v>22</v>
      </c>
      <c r="U80" s="24">
        <v>2720</v>
      </c>
      <c r="V80" s="24">
        <f t="shared" si="32"/>
        <v>59840</v>
      </c>
      <c r="W80" s="24">
        <v>0</v>
      </c>
      <c r="X80" s="18">
        <f t="shared" si="22"/>
        <v>59840</v>
      </c>
      <c r="Y80" s="28">
        <v>8110046741</v>
      </c>
      <c r="Z80" s="14">
        <v>46229</v>
      </c>
      <c r="AA80" s="13" t="s">
        <v>844</v>
      </c>
      <c r="AB80" s="41">
        <v>23.74</v>
      </c>
      <c r="AC80" s="13" t="s">
        <v>110</v>
      </c>
      <c r="AD80" s="13" t="s">
        <v>110</v>
      </c>
      <c r="AE80" s="13" t="s">
        <v>110</v>
      </c>
      <c r="AF80" s="13" t="s">
        <v>110</v>
      </c>
      <c r="AG80" s="13" t="s">
        <v>110</v>
      </c>
      <c r="AH80" s="13" t="s">
        <v>110</v>
      </c>
      <c r="AI80" s="13" t="s">
        <v>110</v>
      </c>
      <c r="AJ80" s="13" t="s">
        <v>110</v>
      </c>
      <c r="AL80" s="13" t="s">
        <v>110</v>
      </c>
      <c r="AM80" s="13" t="s">
        <v>112</v>
      </c>
      <c r="AN80" s="16">
        <v>21533</v>
      </c>
      <c r="AQ80" s="13" t="s">
        <v>116</v>
      </c>
      <c r="AR80" s="13" t="s">
        <v>116</v>
      </c>
      <c r="AS80" s="13">
        <v>72042190</v>
      </c>
      <c r="AT80" s="13" t="s">
        <v>117</v>
      </c>
      <c r="AW80" s="24" t="s">
        <v>211</v>
      </c>
      <c r="BA80" s="45">
        <v>23.74</v>
      </c>
      <c r="BB80" s="24">
        <v>2720</v>
      </c>
      <c r="BC80" s="24">
        <v>0</v>
      </c>
      <c r="BD80" s="24">
        <v>0</v>
      </c>
      <c r="BE80" s="24">
        <f t="shared" si="36"/>
        <v>64572.799999999996</v>
      </c>
      <c r="BF80" s="18">
        <v>0</v>
      </c>
      <c r="BG80" s="13" t="s">
        <v>110</v>
      </c>
      <c r="BH80" s="20">
        <f>BE80</f>
        <v>64572.799999999996</v>
      </c>
      <c r="BI80" s="24">
        <f t="shared" si="28"/>
        <v>6328134.3999999994</v>
      </c>
      <c r="BJ80" s="18">
        <f t="shared" si="37"/>
        <v>64572.799999999996</v>
      </c>
      <c r="BK80" s="24">
        <f t="shared" si="29"/>
        <v>6328134.3999999994</v>
      </c>
      <c r="BL80" s="24">
        <f t="shared" si="25"/>
        <v>0</v>
      </c>
      <c r="BN80" s="24">
        <v>0</v>
      </c>
      <c r="BO80" s="24">
        <v>0</v>
      </c>
      <c r="BP80" s="24">
        <f t="shared" ref="BP80:BP119" si="39">BN80-BF80</f>
        <v>0</v>
      </c>
      <c r="BQ80" s="24"/>
      <c r="BR80" s="13" t="s">
        <v>581</v>
      </c>
      <c r="BS80" s="13" t="s">
        <v>169</v>
      </c>
      <c r="BT80" s="13" t="s">
        <v>124</v>
      </c>
      <c r="BW80" s="16"/>
      <c r="BY80" s="13" t="s">
        <v>124</v>
      </c>
      <c r="BZ80" s="24"/>
      <c r="CA80" s="24"/>
      <c r="CB80" s="22" t="s">
        <v>110</v>
      </c>
      <c r="CC80" s="33" t="s">
        <v>110</v>
      </c>
      <c r="CD80" s="18" t="s">
        <v>110</v>
      </c>
      <c r="CE80" s="24" t="s">
        <v>124</v>
      </c>
      <c r="CF80" s="13" t="s">
        <v>124</v>
      </c>
      <c r="CH80" s="13" t="s">
        <v>172</v>
      </c>
      <c r="CI80" s="24"/>
      <c r="CJ80" s="24">
        <f t="shared" si="30"/>
        <v>0</v>
      </c>
      <c r="CK80" s="24"/>
      <c r="CM80" s="24">
        <v>0</v>
      </c>
      <c r="CN80" s="18">
        <f t="shared" si="33"/>
        <v>0</v>
      </c>
      <c r="CO80" s="18">
        <f t="shared" si="23"/>
        <v>0</v>
      </c>
      <c r="CP80" s="24">
        <v>0</v>
      </c>
      <c r="CQ80" s="18">
        <f t="shared" si="34"/>
        <v>0</v>
      </c>
      <c r="CR80" s="24"/>
      <c r="CT80" s="13" t="s">
        <v>110</v>
      </c>
    </row>
    <row r="81" spans="1:100" s="13" customFormat="1" ht="43.2">
      <c r="A81" s="12" t="s">
        <v>288</v>
      </c>
      <c r="B81" s="13" t="str">
        <f t="shared" si="35"/>
        <v/>
      </c>
      <c r="C81" s="13" t="s">
        <v>571</v>
      </c>
      <c r="D81" s="13" t="s">
        <v>97</v>
      </c>
      <c r="G81" s="14"/>
      <c r="H81" s="15" t="s">
        <v>99</v>
      </c>
      <c r="I81" s="15"/>
      <c r="J81" s="15"/>
      <c r="L81" s="13">
        <v>1620021513</v>
      </c>
      <c r="M81" s="13">
        <f t="shared" si="31"/>
        <v>0</v>
      </c>
      <c r="N81" s="43">
        <v>46230</v>
      </c>
      <c r="O81" s="30"/>
      <c r="P81" s="16" t="s">
        <v>102</v>
      </c>
      <c r="Q81" s="17" t="s">
        <v>845</v>
      </c>
      <c r="R81" s="13" t="s">
        <v>846</v>
      </c>
      <c r="S81" s="13" t="s">
        <v>373</v>
      </c>
      <c r="T81" s="24">
        <v>44</v>
      </c>
      <c r="U81" s="24">
        <v>2825</v>
      </c>
      <c r="V81" s="24">
        <f t="shared" si="32"/>
        <v>124300</v>
      </c>
      <c r="W81" s="24">
        <v>0</v>
      </c>
      <c r="X81" s="18">
        <f t="shared" si="22"/>
        <v>124300</v>
      </c>
      <c r="Y81" s="28"/>
      <c r="Z81" s="14"/>
      <c r="AB81" s="41"/>
      <c r="AC81" s="13" t="s">
        <v>110</v>
      </c>
      <c r="AD81" s="13" t="s">
        <v>110</v>
      </c>
      <c r="AE81" s="13" t="s">
        <v>110</v>
      </c>
      <c r="AF81" s="13" t="s">
        <v>110</v>
      </c>
      <c r="AG81" s="13" t="s">
        <v>110</v>
      </c>
      <c r="AH81" s="13" t="s">
        <v>110</v>
      </c>
      <c r="AI81" s="13" t="s">
        <v>110</v>
      </c>
      <c r="AJ81" s="13" t="s">
        <v>110</v>
      </c>
      <c r="AL81" s="13" t="s">
        <v>110</v>
      </c>
      <c r="AM81" s="13" t="s">
        <v>112</v>
      </c>
      <c r="AN81" s="16"/>
      <c r="AS81" s="13">
        <v>72042190</v>
      </c>
      <c r="AT81" s="13" t="s">
        <v>117</v>
      </c>
      <c r="AW81" s="24"/>
      <c r="BA81" s="45"/>
      <c r="BB81" s="24"/>
      <c r="BC81" s="24">
        <v>0</v>
      </c>
      <c r="BD81" s="24">
        <v>0</v>
      </c>
      <c r="BE81" s="24">
        <f t="shared" si="36"/>
        <v>0</v>
      </c>
      <c r="BF81" s="18">
        <v>0</v>
      </c>
      <c r="BG81" s="13" t="s">
        <v>110</v>
      </c>
      <c r="BH81" s="20">
        <f>_xlfn.NUMBERVALUE(BE112)</f>
        <v>73450.21398</v>
      </c>
      <c r="BI81" s="24">
        <f t="shared" si="28"/>
        <v>7198120.97004</v>
      </c>
      <c r="BJ81" s="18">
        <f t="shared" si="37"/>
        <v>73450.21398</v>
      </c>
      <c r="BK81" s="24">
        <f t="shared" si="29"/>
        <v>7198120.97004</v>
      </c>
      <c r="BL81" s="24">
        <f t="shared" si="25"/>
        <v>0</v>
      </c>
      <c r="BN81" s="24">
        <v>0</v>
      </c>
      <c r="BO81" s="24">
        <v>0</v>
      </c>
      <c r="BP81" s="24">
        <f t="shared" si="39"/>
        <v>0</v>
      </c>
      <c r="BQ81" s="24"/>
      <c r="BR81" s="13" t="s">
        <v>581</v>
      </c>
      <c r="BS81" s="13" t="s">
        <v>169</v>
      </c>
      <c r="BT81" s="13" t="s">
        <v>124</v>
      </c>
      <c r="BW81" s="16"/>
      <c r="BY81" s="13" t="s">
        <v>124</v>
      </c>
      <c r="BZ81" s="24"/>
      <c r="CA81" s="24"/>
      <c r="CB81" s="22" t="s">
        <v>110</v>
      </c>
      <c r="CC81" s="33" t="s">
        <v>110</v>
      </c>
      <c r="CD81" s="18" t="s">
        <v>110</v>
      </c>
      <c r="CE81" s="24" t="s">
        <v>124</v>
      </c>
      <c r="CF81" s="13" t="s">
        <v>124</v>
      </c>
      <c r="CH81" s="13" t="s">
        <v>172</v>
      </c>
      <c r="CI81" s="24"/>
      <c r="CJ81" s="24">
        <f t="shared" si="30"/>
        <v>0</v>
      </c>
      <c r="CK81" s="24"/>
      <c r="CM81" s="24">
        <v>0</v>
      </c>
      <c r="CN81" s="18">
        <f t="shared" si="33"/>
        <v>0</v>
      </c>
      <c r="CO81" s="18">
        <f t="shared" si="23"/>
        <v>0</v>
      </c>
      <c r="CP81" s="24">
        <v>0</v>
      </c>
      <c r="CQ81" s="18">
        <f t="shared" si="34"/>
        <v>0</v>
      </c>
      <c r="CR81" s="24"/>
      <c r="CT81" s="13" t="s">
        <v>110</v>
      </c>
    </row>
    <row r="82" spans="1:100" s="13" customFormat="1" ht="86.4">
      <c r="A82" s="12" t="s">
        <v>288</v>
      </c>
      <c r="B82" s="13" t="str">
        <f t="shared" si="35"/>
        <v>229105</v>
      </c>
      <c r="C82" s="13" t="s">
        <v>96</v>
      </c>
      <c r="D82" s="13" t="s">
        <v>97</v>
      </c>
      <c r="E82" s="13" t="s">
        <v>847</v>
      </c>
      <c r="F82" s="14">
        <v>46138</v>
      </c>
      <c r="G82" s="43">
        <f t="shared" ref="G82:G111" si="40">F82+13</f>
        <v>46151</v>
      </c>
      <c r="H82" s="15" t="s">
        <v>99</v>
      </c>
      <c r="I82" s="15" t="s">
        <v>100</v>
      </c>
      <c r="J82" s="15" t="s">
        <v>100</v>
      </c>
      <c r="K82" s="14">
        <v>46190</v>
      </c>
      <c r="L82" s="13">
        <v>3.2025999999999999</v>
      </c>
      <c r="M82" s="13">
        <f t="shared" si="31"/>
        <v>1</v>
      </c>
      <c r="N82" s="43">
        <v>46165</v>
      </c>
      <c r="O82" s="30" t="s">
        <v>848</v>
      </c>
      <c r="P82" s="13" t="s">
        <v>849</v>
      </c>
      <c r="Q82" s="17" t="s">
        <v>850</v>
      </c>
      <c r="R82" s="19" t="s">
        <v>851</v>
      </c>
      <c r="S82" s="16" t="s">
        <v>852</v>
      </c>
      <c r="T82" s="24">
        <v>21</v>
      </c>
      <c r="U82" s="24">
        <f>((15*1830)+(6*2550))/21</f>
        <v>2035.7142857142858</v>
      </c>
      <c r="V82" s="24">
        <f t="shared" si="32"/>
        <v>42750</v>
      </c>
      <c r="W82" s="24">
        <v>0</v>
      </c>
      <c r="X82" s="18">
        <f t="shared" si="22"/>
        <v>42750</v>
      </c>
      <c r="Y82" s="13" t="s">
        <v>110</v>
      </c>
      <c r="Z82" s="13" t="s">
        <v>110</v>
      </c>
      <c r="AA82" s="13" t="s">
        <v>853</v>
      </c>
      <c r="AB82" s="24">
        <v>23.756</v>
      </c>
      <c r="AC82" s="13" t="s">
        <v>110</v>
      </c>
      <c r="AD82" s="13" t="s">
        <v>110</v>
      </c>
      <c r="AE82" s="13" t="s">
        <v>110</v>
      </c>
      <c r="AF82" s="13" t="s">
        <v>110</v>
      </c>
      <c r="AG82" s="13" t="s">
        <v>110</v>
      </c>
      <c r="AH82" s="13" t="s">
        <v>110</v>
      </c>
      <c r="AI82" s="13" t="s">
        <v>110</v>
      </c>
      <c r="AJ82" s="13" t="s">
        <v>110</v>
      </c>
      <c r="AK82" s="13">
        <v>23756</v>
      </c>
      <c r="AL82" s="13" t="s">
        <v>110</v>
      </c>
      <c r="AM82" s="13" t="s">
        <v>112</v>
      </c>
      <c r="AN82" s="16">
        <v>1020636</v>
      </c>
      <c r="AO82" s="13" t="s">
        <v>854</v>
      </c>
      <c r="AP82" s="16" t="s">
        <v>425</v>
      </c>
      <c r="AQ82" s="13" t="s">
        <v>116</v>
      </c>
      <c r="AR82" s="13" t="s">
        <v>116</v>
      </c>
      <c r="AS82" s="13">
        <v>72042190</v>
      </c>
      <c r="AT82" s="13" t="s">
        <v>117</v>
      </c>
      <c r="AU82" s="13" t="s">
        <v>855</v>
      </c>
      <c r="AV82" s="13" t="s">
        <v>119</v>
      </c>
      <c r="AW82" s="24">
        <v>800</v>
      </c>
      <c r="AX82" s="13" t="s">
        <v>856</v>
      </c>
      <c r="AY82" s="53" t="s">
        <v>857</v>
      </c>
      <c r="AZ82" s="14">
        <v>46178</v>
      </c>
      <c r="BA82" s="13">
        <v>23.756</v>
      </c>
      <c r="BB82" s="24">
        <f>((8.306*1830)+(3.47*1975)+(11.98*2550))/(8.306+3.47+11.98)</f>
        <v>2214.2713419767638</v>
      </c>
      <c r="BC82" s="24">
        <v>0</v>
      </c>
      <c r="BD82" s="24">
        <v>94.49</v>
      </c>
      <c r="BE82" s="24">
        <f t="shared" si="36"/>
        <v>52602.23</v>
      </c>
      <c r="BF82" s="18">
        <v>0</v>
      </c>
      <c r="BG82" s="13" t="s">
        <v>110</v>
      </c>
      <c r="BH82" s="20">
        <f>BE82</f>
        <v>52602.23</v>
      </c>
      <c r="BI82" s="24">
        <f t="shared" si="28"/>
        <v>5155018.54</v>
      </c>
      <c r="BJ82" s="18">
        <f t="shared" si="37"/>
        <v>52602.23</v>
      </c>
      <c r="BK82" s="24">
        <f t="shared" si="29"/>
        <v>6017693.6270500002</v>
      </c>
      <c r="BL82" s="24">
        <f t="shared" si="25"/>
        <v>4970384.7127</v>
      </c>
      <c r="BM82" s="14">
        <v>46203</v>
      </c>
      <c r="BN82" s="24">
        <v>0</v>
      </c>
      <c r="BO82" s="24">
        <v>0</v>
      </c>
      <c r="BP82" s="24">
        <f t="shared" si="39"/>
        <v>0</v>
      </c>
      <c r="BQ82" s="24">
        <f>9470.38+3002.66</f>
        <v>12473.039999999999</v>
      </c>
      <c r="BR82" s="13" t="s">
        <v>122</v>
      </c>
      <c r="BS82" s="13" t="s">
        <v>169</v>
      </c>
      <c r="BT82" s="13" t="s">
        <v>124</v>
      </c>
      <c r="BU82" s="13" t="s">
        <v>858</v>
      </c>
      <c r="BV82" s="13" t="s">
        <v>859</v>
      </c>
      <c r="BW82" s="16" t="s">
        <v>355</v>
      </c>
      <c r="BX82" s="13">
        <v>157</v>
      </c>
      <c r="BY82" s="13" t="s">
        <v>124</v>
      </c>
      <c r="BZ82" s="24">
        <f>13050+4000+2500+599+1000+175+500+600+1500+4500</f>
        <v>28424</v>
      </c>
      <c r="CA82" s="18" t="s">
        <v>130</v>
      </c>
      <c r="CB82" s="22" t="s">
        <v>110</v>
      </c>
      <c r="CC82" s="33" t="s">
        <v>110</v>
      </c>
      <c r="CD82" s="18" t="s">
        <v>110</v>
      </c>
      <c r="CE82" s="24">
        <v>1370.4</v>
      </c>
      <c r="CF82" s="16" t="s">
        <v>131</v>
      </c>
      <c r="CG82" s="13">
        <v>2048750</v>
      </c>
      <c r="CH82" s="13" t="s">
        <v>100</v>
      </c>
      <c r="CI82" s="24">
        <v>95.3</v>
      </c>
      <c r="CJ82" s="24">
        <f t="shared" si="30"/>
        <v>862675.08705000009</v>
      </c>
      <c r="CK82" s="24">
        <v>52602.23</v>
      </c>
      <c r="CL82" s="24">
        <f t="shared" ref="CL82:CL86" si="41">ROUND(CK82*CI82,0)</f>
        <v>5012993</v>
      </c>
      <c r="CM82" s="24">
        <v>0</v>
      </c>
      <c r="CN82" s="18">
        <f t="shared" si="33"/>
        <v>5012993</v>
      </c>
      <c r="CO82" s="18">
        <f t="shared" si="23"/>
        <v>902339</v>
      </c>
      <c r="CP82" s="24">
        <v>2250</v>
      </c>
      <c r="CQ82" s="18">
        <f t="shared" si="34"/>
        <v>904589</v>
      </c>
      <c r="CR82" s="24">
        <f>51300+177+5990+400+3500+46.5</f>
        <v>61413.5</v>
      </c>
      <c r="CS82" s="14">
        <v>46207</v>
      </c>
      <c r="CT82" s="13" t="s">
        <v>110</v>
      </c>
      <c r="CU82" s="13" t="s">
        <v>860</v>
      </c>
    </row>
    <row r="83" spans="1:100" s="13" customFormat="1" ht="86.4">
      <c r="A83" s="12" t="s">
        <v>288</v>
      </c>
      <c r="B83" s="13" t="str">
        <f t="shared" si="35"/>
        <v>105477</v>
      </c>
      <c r="C83" s="13" t="s">
        <v>96</v>
      </c>
      <c r="D83" s="13" t="s">
        <v>97</v>
      </c>
      <c r="E83" s="13" t="s">
        <v>861</v>
      </c>
      <c r="F83" s="43">
        <v>46215</v>
      </c>
      <c r="G83" s="43">
        <f t="shared" si="40"/>
        <v>46228</v>
      </c>
      <c r="H83" s="15" t="s">
        <v>99</v>
      </c>
      <c r="I83" s="15" t="s">
        <v>100</v>
      </c>
      <c r="J83" s="15" t="s">
        <v>100</v>
      </c>
      <c r="K83" s="14">
        <v>46193</v>
      </c>
      <c r="L83" s="13" t="s">
        <v>862</v>
      </c>
      <c r="M83" s="13">
        <f t="shared" si="31"/>
        <v>1</v>
      </c>
      <c r="N83" s="43">
        <v>46191</v>
      </c>
      <c r="O83" s="30" t="s">
        <v>863</v>
      </c>
      <c r="P83" s="13" t="s">
        <v>864</v>
      </c>
      <c r="Q83" s="17" t="s">
        <v>865</v>
      </c>
      <c r="R83" s="16" t="s">
        <v>866</v>
      </c>
      <c r="S83" s="16" t="s">
        <v>867</v>
      </c>
      <c r="T83" s="24">
        <v>16.024000000000001</v>
      </c>
      <c r="U83" s="24">
        <v>5181.3599999999997</v>
      </c>
      <c r="V83" s="24">
        <f t="shared" si="32"/>
        <v>83026.112640000007</v>
      </c>
      <c r="W83" s="24">
        <v>0</v>
      </c>
      <c r="X83" s="18">
        <f t="shared" si="22"/>
        <v>83026.112640000007</v>
      </c>
      <c r="Y83" s="13" t="s">
        <v>110</v>
      </c>
      <c r="Z83" s="13" t="s">
        <v>110</v>
      </c>
      <c r="AA83" s="13" t="s">
        <v>868</v>
      </c>
      <c r="AB83" s="24">
        <v>16.024000000000001</v>
      </c>
      <c r="AC83" s="13" t="s">
        <v>110</v>
      </c>
      <c r="AD83" s="13" t="s">
        <v>110</v>
      </c>
      <c r="AE83" s="13" t="s">
        <v>110</v>
      </c>
      <c r="AF83" s="13" t="s">
        <v>110</v>
      </c>
      <c r="AG83" s="13" t="s">
        <v>110</v>
      </c>
      <c r="AH83" s="13" t="s">
        <v>110</v>
      </c>
      <c r="AI83" s="13" t="s">
        <v>110</v>
      </c>
      <c r="AJ83" s="13" t="s">
        <v>110</v>
      </c>
      <c r="AK83" s="13">
        <v>16024</v>
      </c>
      <c r="AL83" s="13" t="s">
        <v>110</v>
      </c>
      <c r="AM83" s="13" t="s">
        <v>112</v>
      </c>
      <c r="AN83" s="16">
        <v>1133000</v>
      </c>
      <c r="AO83" s="13" t="s">
        <v>869</v>
      </c>
      <c r="AP83" s="13" t="s">
        <v>870</v>
      </c>
      <c r="AQ83" s="13" t="s">
        <v>116</v>
      </c>
      <c r="AR83" s="13" t="s">
        <v>116</v>
      </c>
      <c r="AS83" s="16" t="s">
        <v>166</v>
      </c>
      <c r="AU83" s="13" t="s">
        <v>871</v>
      </c>
      <c r="AV83" s="13" t="s">
        <v>119</v>
      </c>
      <c r="AW83" s="24">
        <v>800</v>
      </c>
      <c r="AX83" s="13" t="s">
        <v>872</v>
      </c>
      <c r="AY83" s="13" t="s">
        <v>873</v>
      </c>
      <c r="AZ83" s="14">
        <v>46193</v>
      </c>
      <c r="BA83" s="13">
        <v>16.024000000000001</v>
      </c>
      <c r="BB83" s="24">
        <v>5181.3599999999997</v>
      </c>
      <c r="BC83" s="24">
        <v>0</v>
      </c>
      <c r="BD83" s="24">
        <v>96.4</v>
      </c>
      <c r="BE83" s="24">
        <f t="shared" si="36"/>
        <v>83026.112640000007</v>
      </c>
      <c r="BF83" s="18">
        <v>0</v>
      </c>
      <c r="BH83" s="20">
        <f>BE83</f>
        <v>83026.112640000007</v>
      </c>
      <c r="BI83" s="24">
        <f t="shared" si="28"/>
        <v>8136559.0387200005</v>
      </c>
      <c r="BJ83" s="18">
        <f t="shared" si="37"/>
        <v>83026.112640000007</v>
      </c>
      <c r="BK83" s="24">
        <f t="shared" si="29"/>
        <v>9617616.1977430079</v>
      </c>
      <c r="BL83" s="24">
        <f t="shared" si="25"/>
        <v>8003717.2584960014</v>
      </c>
      <c r="BM83" s="14">
        <v>46218</v>
      </c>
      <c r="BN83" s="24">
        <v>0</v>
      </c>
      <c r="BO83" s="24">
        <v>0</v>
      </c>
      <c r="BP83" s="24">
        <f t="shared" si="39"/>
        <v>0</v>
      </c>
      <c r="BQ83" s="24">
        <f>3548.66+12503.72</f>
        <v>16052.38</v>
      </c>
      <c r="BR83" s="13" t="s">
        <v>122</v>
      </c>
      <c r="BS83" s="13" t="s">
        <v>169</v>
      </c>
      <c r="BT83" s="13" t="s">
        <v>124</v>
      </c>
      <c r="BU83" s="13" t="s">
        <v>874</v>
      </c>
      <c r="BV83" s="13" t="s">
        <v>354</v>
      </c>
      <c r="BW83" s="16" t="s">
        <v>355</v>
      </c>
      <c r="BX83" s="13">
        <v>190</v>
      </c>
      <c r="BY83" s="13" t="s">
        <v>124</v>
      </c>
      <c r="BZ83" s="24">
        <f>19020+5500</f>
        <v>24520</v>
      </c>
      <c r="CA83" s="18" t="s">
        <v>130</v>
      </c>
      <c r="CB83" s="22" t="s">
        <v>110</v>
      </c>
      <c r="CC83" s="33" t="s">
        <v>110</v>
      </c>
      <c r="CD83" s="18" t="s">
        <v>110</v>
      </c>
      <c r="CE83" s="24" t="s">
        <v>124</v>
      </c>
      <c r="CF83" s="13" t="s">
        <v>124</v>
      </c>
      <c r="CG83" s="13">
        <v>2427419</v>
      </c>
      <c r="CH83" s="13" t="s">
        <v>100</v>
      </c>
      <c r="CI83" s="24">
        <v>95.2</v>
      </c>
      <c r="CJ83" s="24">
        <f t="shared" si="30"/>
        <v>1481057.1590230078</v>
      </c>
      <c r="CK83" s="24">
        <v>83026.11</v>
      </c>
      <c r="CL83" s="24">
        <f t="shared" si="41"/>
        <v>7904086</v>
      </c>
      <c r="CM83" s="24">
        <v>0</v>
      </c>
      <c r="CN83" s="18">
        <f t="shared" si="33"/>
        <v>7904086</v>
      </c>
      <c r="CO83" s="18">
        <f t="shared" si="23"/>
        <v>1422735</v>
      </c>
      <c r="CP83" s="24">
        <v>2956</v>
      </c>
      <c r="CQ83" s="18">
        <f t="shared" si="34"/>
        <v>1425691</v>
      </c>
      <c r="CR83" s="24">
        <f>46.5+12800+2000+14500+8000+177+9440+700</f>
        <v>47663.5</v>
      </c>
      <c r="CS83" s="14">
        <v>46221</v>
      </c>
      <c r="CT83" s="13" t="s">
        <v>110</v>
      </c>
      <c r="CU83" s="13" t="s">
        <v>875</v>
      </c>
    </row>
    <row r="84" spans="1:100" s="13" customFormat="1" ht="43.2">
      <c r="A84" s="12" t="s">
        <v>288</v>
      </c>
      <c r="B84" s="13" t="str">
        <f t="shared" si="35"/>
        <v>086184</v>
      </c>
      <c r="C84" s="13" t="s">
        <v>96</v>
      </c>
      <c r="D84" s="13" t="s">
        <v>97</v>
      </c>
      <c r="E84" s="13" t="s">
        <v>876</v>
      </c>
      <c r="F84" s="43">
        <v>46191</v>
      </c>
      <c r="G84" s="43">
        <f t="shared" si="40"/>
        <v>46204</v>
      </c>
      <c r="H84" s="15" t="s">
        <v>99</v>
      </c>
      <c r="I84" s="15" t="s">
        <v>100</v>
      </c>
      <c r="J84" s="15" t="s">
        <v>100</v>
      </c>
      <c r="K84" s="43">
        <v>46209</v>
      </c>
      <c r="L84" s="13" t="s">
        <v>877</v>
      </c>
      <c r="M84" s="13">
        <f t="shared" si="31"/>
        <v>1</v>
      </c>
      <c r="N84" s="43">
        <v>46195</v>
      </c>
      <c r="O84" s="30" t="s">
        <v>878</v>
      </c>
      <c r="P84" s="16" t="s">
        <v>879</v>
      </c>
      <c r="Q84" s="17" t="s">
        <v>880</v>
      </c>
      <c r="R84" s="13" t="s">
        <v>880</v>
      </c>
      <c r="S84" s="16" t="s">
        <v>881</v>
      </c>
      <c r="T84" s="24">
        <v>25</v>
      </c>
      <c r="U84" s="24">
        <v>720</v>
      </c>
      <c r="V84" s="24">
        <f t="shared" si="32"/>
        <v>18000</v>
      </c>
      <c r="W84" s="24">
        <v>0</v>
      </c>
      <c r="X84" s="18">
        <f t="shared" si="22"/>
        <v>18000</v>
      </c>
      <c r="Y84" s="13" t="s">
        <v>110</v>
      </c>
      <c r="Z84" s="13" t="s">
        <v>110</v>
      </c>
      <c r="AA84" s="13" t="s">
        <v>882</v>
      </c>
      <c r="AB84" s="13">
        <v>25.61</v>
      </c>
      <c r="AC84" s="13" t="s">
        <v>110</v>
      </c>
      <c r="AD84" s="13" t="s">
        <v>110</v>
      </c>
      <c r="AE84" s="13" t="s">
        <v>110</v>
      </c>
      <c r="AF84" s="13" t="s">
        <v>110</v>
      </c>
      <c r="AG84" s="13" t="s">
        <v>110</v>
      </c>
      <c r="AH84" s="13" t="s">
        <v>110</v>
      </c>
      <c r="AI84" s="13" t="s">
        <v>110</v>
      </c>
      <c r="AJ84" s="13" t="s">
        <v>110</v>
      </c>
      <c r="AK84" s="13">
        <v>25610</v>
      </c>
      <c r="AL84" s="13" t="s">
        <v>110</v>
      </c>
      <c r="AM84" s="13" t="s">
        <v>112</v>
      </c>
      <c r="AN84" s="16" t="s">
        <v>883</v>
      </c>
      <c r="AO84" s="16" t="s">
        <v>884</v>
      </c>
      <c r="AP84" s="13" t="s">
        <v>885</v>
      </c>
      <c r="AQ84" s="13" t="s">
        <v>116</v>
      </c>
      <c r="AR84" s="13" t="s">
        <v>116</v>
      </c>
      <c r="AS84" s="13">
        <v>72044900</v>
      </c>
      <c r="AU84" s="13" t="s">
        <v>886</v>
      </c>
      <c r="AV84" s="13" t="s">
        <v>119</v>
      </c>
      <c r="AW84" s="24">
        <v>800</v>
      </c>
      <c r="AX84" s="13" t="s">
        <v>887</v>
      </c>
      <c r="AY84" s="13" t="s">
        <v>888</v>
      </c>
      <c r="AZ84" s="14">
        <v>46198</v>
      </c>
      <c r="BA84" s="45">
        <v>25.61</v>
      </c>
      <c r="BB84" s="24">
        <v>720</v>
      </c>
      <c r="BC84" s="24">
        <v>0</v>
      </c>
      <c r="BD84" s="24">
        <v>95.857500000000002</v>
      </c>
      <c r="BE84" s="24">
        <f t="shared" si="36"/>
        <v>18439.2</v>
      </c>
      <c r="BF84" s="18">
        <v>0</v>
      </c>
      <c r="BG84" s="13" t="s">
        <v>110</v>
      </c>
      <c r="BH84" s="20">
        <f t="shared" ref="BH84:BH121" si="42">BE84</f>
        <v>18439.2</v>
      </c>
      <c r="BI84" s="24">
        <f t="shared" si="28"/>
        <v>1807041.6</v>
      </c>
      <c r="BJ84" s="18">
        <f t="shared" si="37"/>
        <v>18439.2</v>
      </c>
      <c r="BK84" s="24">
        <f t="shared" si="29"/>
        <v>2135968.34724</v>
      </c>
      <c r="BL84" s="24">
        <f t="shared" si="25"/>
        <v>1767535.6140000001</v>
      </c>
      <c r="BM84" s="14">
        <v>46253</v>
      </c>
      <c r="BN84" s="24">
        <v>0</v>
      </c>
      <c r="BO84" s="24">
        <v>0</v>
      </c>
      <c r="BP84" s="24">
        <f t="shared" si="39"/>
        <v>0</v>
      </c>
      <c r="BQ84" s="24">
        <f>6267.54+2426.16</f>
        <v>8693.7000000000007</v>
      </c>
      <c r="BR84" s="13" t="s">
        <v>122</v>
      </c>
      <c r="BS84" s="13" t="s">
        <v>169</v>
      </c>
      <c r="BT84" s="13" t="s">
        <v>124</v>
      </c>
      <c r="BU84" s="13" t="s">
        <v>889</v>
      </c>
      <c r="BV84" s="13" t="s">
        <v>258</v>
      </c>
      <c r="BW84" s="16" t="s">
        <v>127</v>
      </c>
      <c r="BX84" s="13" t="s">
        <v>890</v>
      </c>
      <c r="BY84" s="13" t="s">
        <v>380</v>
      </c>
      <c r="BZ84" s="24">
        <f>5740+1900+5800+9000+599</f>
        <v>23039</v>
      </c>
      <c r="CA84" s="18" t="s">
        <v>130</v>
      </c>
      <c r="CB84" s="22">
        <v>46256</v>
      </c>
      <c r="CC84" s="33">
        <v>46259</v>
      </c>
      <c r="CD84" s="18">
        <v>25513.8</v>
      </c>
      <c r="CE84" s="24" t="s">
        <v>124</v>
      </c>
      <c r="CF84" s="13" t="s">
        <v>124</v>
      </c>
      <c r="CG84" s="13">
        <v>3192556</v>
      </c>
      <c r="CH84" s="13" t="s">
        <v>100</v>
      </c>
      <c r="CI84" s="24">
        <v>96.05</v>
      </c>
      <c r="CJ84" s="24">
        <f t="shared" si="30"/>
        <v>328926.74724</v>
      </c>
      <c r="CK84" s="24">
        <v>18439.2</v>
      </c>
      <c r="CL84" s="24">
        <f t="shared" si="41"/>
        <v>1771085</v>
      </c>
      <c r="CM84" s="24">
        <v>0</v>
      </c>
      <c r="CN84" s="18">
        <f t="shared" si="33"/>
        <v>1771085</v>
      </c>
      <c r="CO84" s="18">
        <f t="shared" si="23"/>
        <v>318795</v>
      </c>
      <c r="CP84" s="24">
        <f>917+5000</f>
        <v>5917</v>
      </c>
      <c r="CQ84" s="18">
        <f t="shared" si="34"/>
        <v>324712</v>
      </c>
      <c r="CR84" s="24" t="s">
        <v>211</v>
      </c>
      <c r="CS84" s="14">
        <v>46259</v>
      </c>
      <c r="CT84" s="13" t="s">
        <v>110</v>
      </c>
      <c r="CU84" s="13" t="s">
        <v>891</v>
      </c>
      <c r="CV84" s="16" t="s">
        <v>261</v>
      </c>
    </row>
    <row r="85" spans="1:100" s="13" customFormat="1" ht="28.8">
      <c r="A85" s="12" t="s">
        <v>288</v>
      </c>
      <c r="B85" s="13" t="str">
        <f t="shared" si="35"/>
        <v>090508</v>
      </c>
      <c r="C85" s="13" t="s">
        <v>96</v>
      </c>
      <c r="D85" s="13" t="s">
        <v>97</v>
      </c>
      <c r="E85" s="13" t="s">
        <v>892</v>
      </c>
      <c r="F85" s="14">
        <v>46226</v>
      </c>
      <c r="G85" s="14">
        <f t="shared" si="40"/>
        <v>46239</v>
      </c>
      <c r="H85" s="15" t="s">
        <v>99</v>
      </c>
      <c r="I85" s="15" t="s">
        <v>100</v>
      </c>
      <c r="J85" s="15" t="s">
        <v>100</v>
      </c>
      <c r="K85" s="14">
        <v>46209</v>
      </c>
      <c r="L85" s="13">
        <v>1620021194</v>
      </c>
      <c r="M85" s="13">
        <f t="shared" si="31"/>
        <v>1</v>
      </c>
      <c r="N85" s="43">
        <v>46153</v>
      </c>
      <c r="O85" s="30" t="s">
        <v>893</v>
      </c>
      <c r="P85" s="16" t="s">
        <v>370</v>
      </c>
      <c r="Q85" s="17" t="s">
        <v>894</v>
      </c>
      <c r="R85" s="13" t="s">
        <v>895</v>
      </c>
      <c r="S85" s="13" t="s">
        <v>228</v>
      </c>
      <c r="T85" s="24">
        <v>23</v>
      </c>
      <c r="U85" s="24">
        <v>2800</v>
      </c>
      <c r="V85" s="24">
        <f t="shared" si="32"/>
        <v>64400</v>
      </c>
      <c r="W85" s="24">
        <v>0</v>
      </c>
      <c r="X85" s="18">
        <f t="shared" si="22"/>
        <v>64400</v>
      </c>
      <c r="Y85" s="28">
        <v>8110045812</v>
      </c>
      <c r="Z85" s="14">
        <v>46174</v>
      </c>
      <c r="AA85" s="13" t="s">
        <v>896</v>
      </c>
      <c r="AB85" s="24">
        <v>23.347999999999999</v>
      </c>
      <c r="AC85" s="13" t="s">
        <v>110</v>
      </c>
      <c r="AD85" s="13" t="s">
        <v>110</v>
      </c>
      <c r="AE85" s="13" t="s">
        <v>110</v>
      </c>
      <c r="AF85" s="13" t="s">
        <v>110</v>
      </c>
      <c r="AG85" s="13" t="s">
        <v>110</v>
      </c>
      <c r="AH85" s="13" t="s">
        <v>110</v>
      </c>
      <c r="AI85" s="13" t="s">
        <v>110</v>
      </c>
      <c r="AJ85" s="13" t="s">
        <v>110</v>
      </c>
      <c r="AK85" s="13">
        <v>21348</v>
      </c>
      <c r="AL85" s="13" t="s">
        <v>110</v>
      </c>
      <c r="AM85" s="13" t="s">
        <v>112</v>
      </c>
      <c r="AN85" s="47" t="s">
        <v>897</v>
      </c>
      <c r="AO85" s="16" t="s">
        <v>512</v>
      </c>
      <c r="AP85" s="13" t="s">
        <v>115</v>
      </c>
      <c r="AQ85" s="13" t="s">
        <v>116</v>
      </c>
      <c r="AR85" s="13" t="s">
        <v>116</v>
      </c>
      <c r="AS85" s="13">
        <v>72042190</v>
      </c>
      <c r="AT85" s="13" t="s">
        <v>117</v>
      </c>
      <c r="AU85" s="13" t="s">
        <v>898</v>
      </c>
      <c r="AV85" s="13" t="s">
        <v>119</v>
      </c>
      <c r="AW85" s="24">
        <v>800</v>
      </c>
      <c r="AX85" s="13" t="s">
        <v>899</v>
      </c>
      <c r="AY85" s="13">
        <v>9000101155</v>
      </c>
      <c r="AZ85" s="14">
        <v>46194</v>
      </c>
      <c r="BA85" s="45">
        <v>21.347999999999999</v>
      </c>
      <c r="BB85" s="24">
        <v>2800</v>
      </c>
      <c r="BC85" s="24">
        <v>0</v>
      </c>
      <c r="BD85" s="24">
        <v>95.9</v>
      </c>
      <c r="BE85" s="24">
        <f t="shared" si="36"/>
        <v>59774.399999999994</v>
      </c>
      <c r="BF85" s="18">
        <v>0</v>
      </c>
      <c r="BG85" s="13" t="s">
        <v>110</v>
      </c>
      <c r="BH85" s="20">
        <f t="shared" si="42"/>
        <v>59774.399999999994</v>
      </c>
      <c r="BI85" s="24">
        <f t="shared" si="28"/>
        <v>5857891.1999999993</v>
      </c>
      <c r="BJ85" s="18">
        <f t="shared" si="37"/>
        <v>59774.399999999994</v>
      </c>
      <c r="BK85" s="24">
        <f t="shared" si="29"/>
        <v>6924173.8456799993</v>
      </c>
      <c r="BL85" s="24">
        <v>5775060.96</v>
      </c>
      <c r="BM85" s="41" t="s">
        <v>900</v>
      </c>
      <c r="BN85" s="24">
        <v>0</v>
      </c>
      <c r="BO85" s="24">
        <v>0</v>
      </c>
      <c r="BP85" s="24">
        <f t="shared" si="39"/>
        <v>0</v>
      </c>
      <c r="BQ85" s="24">
        <v>0</v>
      </c>
      <c r="BR85" s="13" t="s">
        <v>122</v>
      </c>
      <c r="BS85" s="13" t="s">
        <v>169</v>
      </c>
      <c r="BT85" s="13" t="s">
        <v>124</v>
      </c>
      <c r="BU85" s="13" t="s">
        <v>299</v>
      </c>
      <c r="BV85" s="13" t="s">
        <v>258</v>
      </c>
      <c r="BW85" s="16" t="s">
        <v>127</v>
      </c>
      <c r="BX85" s="13" t="s">
        <v>901</v>
      </c>
      <c r="BY85" s="13" t="s">
        <v>380</v>
      </c>
      <c r="BZ85" s="24">
        <v>33398.949999999997</v>
      </c>
      <c r="CA85" s="18" t="s">
        <v>130</v>
      </c>
      <c r="CB85" s="22" t="s">
        <v>110</v>
      </c>
      <c r="CC85" s="33" t="s">
        <v>110</v>
      </c>
      <c r="CD85" s="18" t="s">
        <v>110</v>
      </c>
      <c r="CE85" s="24" t="s">
        <v>124</v>
      </c>
      <c r="CF85" s="13" t="s">
        <v>124</v>
      </c>
      <c r="CG85" s="13">
        <v>2648499</v>
      </c>
      <c r="CH85" s="13" t="s">
        <v>100</v>
      </c>
      <c r="CI85" s="24">
        <v>97.2</v>
      </c>
      <c r="CJ85" s="24">
        <f t="shared" si="30"/>
        <v>1066282.6456799998</v>
      </c>
      <c r="CK85" s="24">
        <v>59774.400000000001</v>
      </c>
      <c r="CL85" s="24">
        <f t="shared" si="41"/>
        <v>5810072</v>
      </c>
      <c r="CM85" s="24">
        <v>0</v>
      </c>
      <c r="CN85" s="18">
        <f t="shared" si="33"/>
        <v>5810072</v>
      </c>
      <c r="CO85" s="18">
        <f t="shared" si="23"/>
        <v>1045813</v>
      </c>
      <c r="CP85" s="24">
        <v>3067</v>
      </c>
      <c r="CQ85" s="18">
        <f t="shared" si="34"/>
        <v>1048880</v>
      </c>
      <c r="CR85" s="24">
        <f>6860+8500+1000+32921+13000+3200+600</f>
        <v>66081</v>
      </c>
      <c r="CS85" s="14">
        <v>46235</v>
      </c>
      <c r="CT85" s="13" t="s">
        <v>110</v>
      </c>
      <c r="CU85" s="13" t="s">
        <v>902</v>
      </c>
    </row>
    <row r="86" spans="1:100" s="13" customFormat="1" ht="43.2">
      <c r="A86" s="12" t="s">
        <v>288</v>
      </c>
      <c r="B86" s="13" t="str">
        <f t="shared" si="35"/>
        <v>090675</v>
      </c>
      <c r="C86" s="13" t="s">
        <v>96</v>
      </c>
      <c r="D86" s="13" t="s">
        <v>97</v>
      </c>
      <c r="E86" s="13" t="s">
        <v>903</v>
      </c>
      <c r="F86" s="43">
        <v>46266</v>
      </c>
      <c r="G86" s="14">
        <f t="shared" si="40"/>
        <v>46279</v>
      </c>
      <c r="H86" s="15" t="s">
        <v>99</v>
      </c>
      <c r="I86" s="15" t="s">
        <v>100</v>
      </c>
      <c r="J86" s="15" t="s">
        <v>100</v>
      </c>
      <c r="K86" s="14">
        <v>46247</v>
      </c>
      <c r="L86" s="13">
        <v>1620021213</v>
      </c>
      <c r="M86" s="13">
        <f t="shared" si="31"/>
        <v>1</v>
      </c>
      <c r="N86" s="43">
        <v>46156</v>
      </c>
      <c r="O86" s="30" t="s">
        <v>893</v>
      </c>
      <c r="P86" s="16" t="s">
        <v>370</v>
      </c>
      <c r="Q86" s="17" t="s">
        <v>894</v>
      </c>
      <c r="R86" s="13" t="s">
        <v>895</v>
      </c>
      <c r="S86" s="13" t="s">
        <v>228</v>
      </c>
      <c r="T86" s="24">
        <v>46</v>
      </c>
      <c r="U86" s="24">
        <v>2870</v>
      </c>
      <c r="V86" s="24">
        <f t="shared" si="32"/>
        <v>132020</v>
      </c>
      <c r="W86" s="24">
        <v>0</v>
      </c>
      <c r="X86" s="18">
        <f t="shared" si="22"/>
        <v>132020</v>
      </c>
      <c r="Y86" s="19">
        <v>8110045813</v>
      </c>
      <c r="Z86" s="14">
        <v>46176</v>
      </c>
      <c r="AA86" s="13" t="s">
        <v>904</v>
      </c>
      <c r="AB86" s="24">
        <v>21.251999999999999</v>
      </c>
      <c r="AC86" s="13" t="s">
        <v>110</v>
      </c>
      <c r="AD86" s="13" t="s">
        <v>110</v>
      </c>
      <c r="AE86" s="13" t="s">
        <v>110</v>
      </c>
      <c r="AF86" s="13" t="s">
        <v>110</v>
      </c>
      <c r="AG86" s="13" t="s">
        <v>110</v>
      </c>
      <c r="AH86" s="13" t="s">
        <v>110</v>
      </c>
      <c r="AI86" s="13" t="s">
        <v>110</v>
      </c>
      <c r="AJ86" s="13" t="s">
        <v>110</v>
      </c>
      <c r="AK86" s="13">
        <v>21252</v>
      </c>
      <c r="AL86" s="13" t="s">
        <v>905</v>
      </c>
      <c r="AM86" s="13" t="s">
        <v>112</v>
      </c>
      <c r="AN86" s="47" t="s">
        <v>906</v>
      </c>
      <c r="AO86" s="13" t="s">
        <v>907</v>
      </c>
      <c r="AP86" s="13" t="s">
        <v>115</v>
      </c>
      <c r="AQ86" s="13" t="s">
        <v>116</v>
      </c>
      <c r="AR86" s="13" t="s">
        <v>116</v>
      </c>
      <c r="AS86" s="13">
        <v>72042190</v>
      </c>
      <c r="AT86" s="13" t="s">
        <v>117</v>
      </c>
      <c r="AU86" s="13" t="s">
        <v>908</v>
      </c>
      <c r="AV86" s="13" t="s">
        <v>119</v>
      </c>
      <c r="AW86" s="24">
        <v>1600</v>
      </c>
      <c r="AX86" s="16" t="s">
        <v>909</v>
      </c>
      <c r="AY86" s="13">
        <v>9000101552</v>
      </c>
      <c r="AZ86" s="14">
        <v>46247</v>
      </c>
      <c r="BA86" s="45">
        <v>21.251999999999999</v>
      </c>
      <c r="BB86" s="24">
        <v>2870</v>
      </c>
      <c r="BC86" s="24">
        <v>0</v>
      </c>
      <c r="BD86" s="24">
        <v>95.9</v>
      </c>
      <c r="BE86" s="24">
        <f t="shared" si="36"/>
        <v>60993.24</v>
      </c>
      <c r="BF86" s="18">
        <v>0</v>
      </c>
      <c r="BG86" s="13" t="s">
        <v>110</v>
      </c>
      <c r="BH86" s="20">
        <f t="shared" si="42"/>
        <v>60993.24</v>
      </c>
      <c r="BI86" s="24">
        <f t="shared" si="28"/>
        <v>5977337.5199999996</v>
      </c>
      <c r="BJ86" s="18">
        <f t="shared" si="37"/>
        <v>60993.24</v>
      </c>
      <c r="BK86" s="24">
        <f t="shared" si="29"/>
        <v>7065362.3820779994</v>
      </c>
      <c r="BL86" s="24">
        <f t="shared" si="25"/>
        <v>5849251.716</v>
      </c>
      <c r="BM86" s="14">
        <v>46255</v>
      </c>
      <c r="BN86" s="24">
        <v>0</v>
      </c>
      <c r="BO86" s="24">
        <v>0</v>
      </c>
      <c r="BP86" s="24">
        <f t="shared" si="39"/>
        <v>0</v>
      </c>
      <c r="BQ86" s="24"/>
      <c r="BR86" s="13" t="s">
        <v>122</v>
      </c>
      <c r="BS86" s="13" t="s">
        <v>169</v>
      </c>
      <c r="BT86" s="13" t="s">
        <v>124</v>
      </c>
      <c r="BU86" s="13" t="s">
        <v>299</v>
      </c>
      <c r="BV86" s="13" t="s">
        <v>258</v>
      </c>
      <c r="BW86" s="16" t="s">
        <v>127</v>
      </c>
      <c r="BX86" s="13" t="s">
        <v>910</v>
      </c>
      <c r="BY86" s="13" t="s">
        <v>380</v>
      </c>
      <c r="BZ86" s="24">
        <v>32698.95</v>
      </c>
      <c r="CA86" s="18" t="s">
        <v>130</v>
      </c>
      <c r="CB86" s="22" t="s">
        <v>110</v>
      </c>
      <c r="CC86" s="33" t="s">
        <v>110</v>
      </c>
      <c r="CD86" s="18" t="s">
        <v>110</v>
      </c>
      <c r="CE86" s="24" t="s">
        <v>124</v>
      </c>
      <c r="CF86" s="13" t="s">
        <v>124</v>
      </c>
      <c r="CG86" s="13">
        <v>3315112</v>
      </c>
      <c r="CH86" s="13" t="s">
        <v>172</v>
      </c>
      <c r="CI86" s="24">
        <v>96.5</v>
      </c>
      <c r="CJ86" s="24">
        <f t="shared" si="30"/>
        <v>1088024.8620779999</v>
      </c>
      <c r="CK86" s="24">
        <v>60993.24</v>
      </c>
      <c r="CL86" s="24">
        <f t="shared" si="41"/>
        <v>5885848</v>
      </c>
      <c r="CM86" s="24">
        <v>0</v>
      </c>
      <c r="CN86" s="18">
        <f t="shared" si="33"/>
        <v>5885848</v>
      </c>
      <c r="CO86" s="18">
        <f t="shared" si="23"/>
        <v>1059453</v>
      </c>
      <c r="CP86" s="24">
        <v>0</v>
      </c>
      <c r="CQ86" s="18">
        <f t="shared" si="34"/>
        <v>1059453</v>
      </c>
      <c r="CR86" s="24"/>
      <c r="CS86" s="14">
        <v>46276</v>
      </c>
      <c r="CT86" s="13" t="s">
        <v>110</v>
      </c>
      <c r="CU86" s="13" t="s">
        <v>911</v>
      </c>
      <c r="CV86" s="16" t="s">
        <v>261</v>
      </c>
    </row>
    <row r="87" spans="1:100" s="13" customFormat="1" ht="28.8">
      <c r="A87" s="12" t="s">
        <v>288</v>
      </c>
      <c r="B87" s="13" t="str">
        <f t="shared" si="35"/>
        <v>093502</v>
      </c>
      <c r="C87" s="13" t="s">
        <v>571</v>
      </c>
      <c r="D87" s="13" t="s">
        <v>97</v>
      </c>
      <c r="E87" s="13" t="s">
        <v>912</v>
      </c>
      <c r="F87" s="43">
        <v>46292</v>
      </c>
      <c r="G87" s="14">
        <f t="shared" si="40"/>
        <v>46305</v>
      </c>
      <c r="H87" s="15" t="s">
        <v>99</v>
      </c>
      <c r="I87" s="15" t="s">
        <v>172</v>
      </c>
      <c r="J87" s="15" t="s">
        <v>172</v>
      </c>
      <c r="K87" s="14"/>
      <c r="L87" s="13">
        <v>1620021213</v>
      </c>
      <c r="M87" s="13">
        <f t="shared" si="31"/>
        <v>1</v>
      </c>
      <c r="N87" s="43">
        <v>46156</v>
      </c>
      <c r="O87" s="30" t="s">
        <v>893</v>
      </c>
      <c r="P87" s="16" t="s">
        <v>370</v>
      </c>
      <c r="Q87" s="17" t="s">
        <v>894</v>
      </c>
      <c r="R87" s="13" t="s">
        <v>895</v>
      </c>
      <c r="S87" s="13" t="s">
        <v>228</v>
      </c>
      <c r="T87" s="24">
        <v>46</v>
      </c>
      <c r="U87" s="24">
        <v>2870</v>
      </c>
      <c r="V87" s="24">
        <f t="shared" si="32"/>
        <v>132020</v>
      </c>
      <c r="W87" s="24">
        <v>0</v>
      </c>
      <c r="X87" s="18">
        <f t="shared" ref="X87:X119" si="43">+V87-W87</f>
        <v>132020</v>
      </c>
      <c r="Y87" s="19">
        <v>8110045814</v>
      </c>
      <c r="Z87" s="14">
        <v>46180</v>
      </c>
      <c r="AA87" s="13" t="s">
        <v>913</v>
      </c>
      <c r="AB87" s="24">
        <v>20.396000000000001</v>
      </c>
      <c r="AC87" s="13" t="s">
        <v>110</v>
      </c>
      <c r="AD87" s="13" t="s">
        <v>110</v>
      </c>
      <c r="AE87" s="13" t="s">
        <v>110</v>
      </c>
      <c r="AF87" s="13" t="s">
        <v>110</v>
      </c>
      <c r="AG87" s="13" t="s">
        <v>110</v>
      </c>
      <c r="AH87" s="13" t="s">
        <v>110</v>
      </c>
      <c r="AI87" s="13" t="s">
        <v>110</v>
      </c>
      <c r="AJ87" s="13" t="s">
        <v>110</v>
      </c>
      <c r="AK87" s="13">
        <v>20396</v>
      </c>
      <c r="AL87" s="13" t="s">
        <v>905</v>
      </c>
      <c r="AM87" s="13" t="s">
        <v>112</v>
      </c>
      <c r="AN87" s="47"/>
      <c r="AP87" s="13" t="s">
        <v>115</v>
      </c>
      <c r="AQ87" s="13" t="s">
        <v>116</v>
      </c>
      <c r="AR87" s="13" t="s">
        <v>116</v>
      </c>
      <c r="AS87" s="13">
        <v>72042190</v>
      </c>
      <c r="AT87" s="13" t="s">
        <v>117</v>
      </c>
      <c r="AW87" s="24">
        <v>800</v>
      </c>
      <c r="BA87" s="45">
        <v>20.396000000000001</v>
      </c>
      <c r="BB87" s="24">
        <v>2870</v>
      </c>
      <c r="BC87" s="24">
        <v>0</v>
      </c>
      <c r="BD87" s="24">
        <v>0</v>
      </c>
      <c r="BE87" s="24">
        <f t="shared" si="36"/>
        <v>58536.520000000004</v>
      </c>
      <c r="BF87" s="18">
        <v>0</v>
      </c>
      <c r="BG87" s="13" t="s">
        <v>110</v>
      </c>
      <c r="BH87" s="20">
        <f t="shared" si="42"/>
        <v>58536.520000000004</v>
      </c>
      <c r="BI87" s="24">
        <f t="shared" si="28"/>
        <v>5736578.96</v>
      </c>
      <c r="BJ87" s="18">
        <f t="shared" si="37"/>
        <v>58536.520000000004</v>
      </c>
      <c r="BK87" s="24">
        <f t="shared" si="29"/>
        <v>6780779.7451940002</v>
      </c>
      <c r="BL87" s="24">
        <f t="shared" si="25"/>
        <v>0</v>
      </c>
      <c r="BN87" s="24">
        <v>0</v>
      </c>
      <c r="BO87" s="24">
        <v>0</v>
      </c>
      <c r="BP87" s="24">
        <f t="shared" si="39"/>
        <v>0</v>
      </c>
      <c r="BQ87" s="24"/>
      <c r="BR87" s="13" t="s">
        <v>581</v>
      </c>
      <c r="BS87" s="13" t="s">
        <v>169</v>
      </c>
      <c r="BT87" s="13" t="s">
        <v>124</v>
      </c>
      <c r="BU87" s="13" t="s">
        <v>299</v>
      </c>
      <c r="BW87" s="16"/>
      <c r="BY87" s="13" t="s">
        <v>380</v>
      </c>
      <c r="BZ87" s="24"/>
      <c r="CA87" s="24"/>
      <c r="CB87" s="22" t="s">
        <v>110</v>
      </c>
      <c r="CC87" s="33" t="s">
        <v>110</v>
      </c>
      <c r="CD87" s="18" t="s">
        <v>110</v>
      </c>
      <c r="CE87" s="24" t="s">
        <v>124</v>
      </c>
      <c r="CF87" s="13" t="s">
        <v>124</v>
      </c>
      <c r="CH87" s="13" t="s">
        <v>172</v>
      </c>
      <c r="CI87" s="24">
        <v>0</v>
      </c>
      <c r="CJ87" s="24">
        <f t="shared" si="30"/>
        <v>1044200.7851939999</v>
      </c>
      <c r="CK87" s="24">
        <v>0</v>
      </c>
      <c r="CL87" s="24">
        <f>ROUND(((CK87*CI87)),0)</f>
        <v>0</v>
      </c>
      <c r="CM87" s="24">
        <v>0</v>
      </c>
      <c r="CN87" s="18">
        <f t="shared" si="33"/>
        <v>0</v>
      </c>
      <c r="CO87" s="18">
        <f t="shared" si="23"/>
        <v>0</v>
      </c>
      <c r="CP87" s="24">
        <v>0</v>
      </c>
      <c r="CQ87" s="18">
        <f t="shared" si="34"/>
        <v>0</v>
      </c>
      <c r="CR87" s="24"/>
      <c r="CT87" s="16" t="s">
        <v>110</v>
      </c>
    </row>
    <row r="88" spans="1:100" s="13" customFormat="1" ht="28.8">
      <c r="A88" s="12" t="s">
        <v>288</v>
      </c>
      <c r="B88" s="13" t="str">
        <f t="shared" si="35"/>
        <v>141003</v>
      </c>
      <c r="C88" s="13" t="s">
        <v>96</v>
      </c>
      <c r="D88" s="13" t="s">
        <v>97</v>
      </c>
      <c r="E88" s="13" t="s">
        <v>914</v>
      </c>
      <c r="F88" s="14">
        <v>46203</v>
      </c>
      <c r="G88" s="14">
        <f t="shared" si="40"/>
        <v>46216</v>
      </c>
      <c r="H88" s="15" t="s">
        <v>99</v>
      </c>
      <c r="I88" s="15" t="s">
        <v>100</v>
      </c>
      <c r="J88" s="15" t="s">
        <v>100</v>
      </c>
      <c r="K88" s="14">
        <v>46193</v>
      </c>
      <c r="L88" s="13">
        <v>1620021238</v>
      </c>
      <c r="M88" s="13">
        <f t="shared" si="31"/>
        <v>1</v>
      </c>
      <c r="N88" s="43">
        <v>46165</v>
      </c>
      <c r="O88" s="30" t="s">
        <v>893</v>
      </c>
      <c r="P88" s="16" t="s">
        <v>370</v>
      </c>
      <c r="Q88" s="17" t="s">
        <v>894</v>
      </c>
      <c r="R88" s="13" t="s">
        <v>895</v>
      </c>
      <c r="S88" s="13" t="s">
        <v>228</v>
      </c>
      <c r="T88" s="24">
        <v>23</v>
      </c>
      <c r="U88" s="24">
        <v>2825</v>
      </c>
      <c r="V88" s="24">
        <f t="shared" si="32"/>
        <v>64975</v>
      </c>
      <c r="W88" s="24">
        <v>0</v>
      </c>
      <c r="X88" s="18">
        <f t="shared" si="43"/>
        <v>64975</v>
      </c>
      <c r="Y88" s="19">
        <v>8110045932</v>
      </c>
      <c r="Z88" s="14">
        <v>46175</v>
      </c>
      <c r="AA88" s="13" t="s">
        <v>915</v>
      </c>
      <c r="AB88" s="24">
        <v>21.25</v>
      </c>
      <c r="AC88" s="13" t="s">
        <v>110</v>
      </c>
      <c r="AD88" s="13" t="s">
        <v>110</v>
      </c>
      <c r="AE88" s="13" t="s">
        <v>110</v>
      </c>
      <c r="AF88" s="13" t="s">
        <v>110</v>
      </c>
      <c r="AG88" s="13" t="s">
        <v>110</v>
      </c>
      <c r="AH88" s="13" t="s">
        <v>110</v>
      </c>
      <c r="AI88" s="13" t="s">
        <v>110</v>
      </c>
      <c r="AJ88" s="13" t="s">
        <v>110</v>
      </c>
      <c r="AK88" s="13">
        <v>21250</v>
      </c>
      <c r="AL88" s="13" t="s">
        <v>110</v>
      </c>
      <c r="AM88" s="13" t="s">
        <v>246</v>
      </c>
      <c r="AN88" s="16" t="s">
        <v>916</v>
      </c>
      <c r="AO88" s="16" t="s">
        <v>917</v>
      </c>
      <c r="AP88" s="13" t="s">
        <v>115</v>
      </c>
      <c r="AQ88" s="13" t="s">
        <v>116</v>
      </c>
      <c r="AR88" s="13" t="s">
        <v>116</v>
      </c>
      <c r="AS88" s="13">
        <v>72042190</v>
      </c>
      <c r="AT88" s="13" t="s">
        <v>117</v>
      </c>
      <c r="AU88" s="13" t="s">
        <v>855</v>
      </c>
      <c r="AV88" s="13" t="s">
        <v>119</v>
      </c>
      <c r="AW88" s="24">
        <v>800</v>
      </c>
      <c r="AX88" s="13" t="s">
        <v>918</v>
      </c>
      <c r="AY88" s="13">
        <v>9000101274</v>
      </c>
      <c r="AZ88" s="14">
        <v>46193</v>
      </c>
      <c r="BA88" s="13">
        <v>21.25</v>
      </c>
      <c r="BB88" s="24">
        <v>2825</v>
      </c>
      <c r="BC88" s="24">
        <v>0</v>
      </c>
      <c r="BD88" s="24">
        <v>95.36</v>
      </c>
      <c r="BE88" s="24">
        <f t="shared" si="36"/>
        <v>60031.25</v>
      </c>
      <c r="BF88" s="18">
        <v>0</v>
      </c>
      <c r="BG88" s="13" t="s">
        <v>110</v>
      </c>
      <c r="BH88" s="20">
        <f t="shared" si="42"/>
        <v>60031.25</v>
      </c>
      <c r="BI88" s="24">
        <f t="shared" si="28"/>
        <v>5883062.5</v>
      </c>
      <c r="BJ88" s="18">
        <f t="shared" si="37"/>
        <v>60031.25</v>
      </c>
      <c r="BK88" s="24">
        <f t="shared" si="29"/>
        <v>6953926.9515624996</v>
      </c>
      <c r="BL88" s="24">
        <f>39737.5+5727300</f>
        <v>5767037.5</v>
      </c>
      <c r="BN88" s="24">
        <v>0</v>
      </c>
      <c r="BO88" s="24">
        <v>0</v>
      </c>
      <c r="BP88" s="24">
        <f t="shared" si="39"/>
        <v>0</v>
      </c>
      <c r="BQ88" s="24">
        <v>0</v>
      </c>
      <c r="BR88" s="13" t="s">
        <v>122</v>
      </c>
      <c r="BS88" s="13" t="s">
        <v>169</v>
      </c>
      <c r="BT88" s="13" t="s">
        <v>124</v>
      </c>
      <c r="BU88" s="16" t="s">
        <v>750</v>
      </c>
      <c r="BV88" s="16" t="s">
        <v>258</v>
      </c>
      <c r="BW88" s="16" t="s">
        <v>127</v>
      </c>
      <c r="BX88" s="13" t="s">
        <v>919</v>
      </c>
      <c r="BY88" s="13" t="s">
        <v>380</v>
      </c>
      <c r="BZ88" s="24">
        <f>33118+3000</f>
        <v>36118</v>
      </c>
      <c r="CA88" s="18" t="s">
        <v>130</v>
      </c>
      <c r="CB88" s="22" t="s">
        <v>110</v>
      </c>
      <c r="CC88" s="33" t="s">
        <v>110</v>
      </c>
      <c r="CD88" s="18" t="s">
        <v>110</v>
      </c>
      <c r="CE88" s="24" t="s">
        <v>124</v>
      </c>
      <c r="CF88" s="13" t="s">
        <v>124</v>
      </c>
      <c r="CG88" s="13">
        <v>2160675</v>
      </c>
      <c r="CH88" s="13" t="s">
        <v>100</v>
      </c>
      <c r="CI88" s="24">
        <v>95.3</v>
      </c>
      <c r="CJ88" s="24">
        <f t="shared" si="30"/>
        <v>1070864.4515624999</v>
      </c>
      <c r="CK88" s="24">
        <v>60031.25</v>
      </c>
      <c r="CL88" s="24">
        <f t="shared" ref="CL88:CL90" si="44">ROUND(CK88*CI88,0)</f>
        <v>5720978</v>
      </c>
      <c r="CM88" s="24">
        <v>0</v>
      </c>
      <c r="CN88" s="18">
        <f t="shared" si="33"/>
        <v>5720978</v>
      </c>
      <c r="CO88" s="18">
        <f t="shared" si="23"/>
        <v>1029776</v>
      </c>
      <c r="CP88" s="24">
        <v>2590</v>
      </c>
      <c r="CQ88" s="18">
        <f t="shared" si="34"/>
        <v>1032366</v>
      </c>
      <c r="CR88" s="24">
        <f>15000+5000+700+12000+18000+1500+1200+6890</f>
        <v>60290</v>
      </c>
      <c r="CS88" s="14">
        <v>46212</v>
      </c>
      <c r="CT88" s="13" t="s">
        <v>110</v>
      </c>
      <c r="CU88" s="13" t="s">
        <v>920</v>
      </c>
    </row>
    <row r="89" spans="1:100" s="13" customFormat="1" ht="57.6">
      <c r="A89" s="12" t="s">
        <v>288</v>
      </c>
      <c r="B89" s="13" t="str">
        <f t="shared" si="35"/>
        <v>344316</v>
      </c>
      <c r="C89" s="13" t="s">
        <v>96</v>
      </c>
      <c r="D89" s="13" t="s">
        <v>97</v>
      </c>
      <c r="E89" s="13" t="s">
        <v>921</v>
      </c>
      <c r="F89" s="14">
        <v>46234</v>
      </c>
      <c r="G89" s="14">
        <f t="shared" si="40"/>
        <v>46247</v>
      </c>
      <c r="H89" s="15" t="s">
        <v>99</v>
      </c>
      <c r="I89" s="15" t="s">
        <v>100</v>
      </c>
      <c r="J89" s="15" t="s">
        <v>100</v>
      </c>
      <c r="K89" s="14">
        <v>46224</v>
      </c>
      <c r="L89" s="13">
        <v>1620021256</v>
      </c>
      <c r="M89" s="13">
        <f t="shared" si="31"/>
        <v>1</v>
      </c>
      <c r="N89" s="43">
        <v>46165</v>
      </c>
      <c r="O89" s="30" t="s">
        <v>893</v>
      </c>
      <c r="P89" s="16" t="s">
        <v>370</v>
      </c>
      <c r="Q89" s="17" t="s">
        <v>922</v>
      </c>
      <c r="R89" s="13" t="s">
        <v>923</v>
      </c>
      <c r="S89" s="13" t="s">
        <v>924</v>
      </c>
      <c r="T89" s="24">
        <v>22</v>
      </c>
      <c r="U89" s="24">
        <v>1690</v>
      </c>
      <c r="V89" s="24">
        <f t="shared" si="32"/>
        <v>37180</v>
      </c>
      <c r="W89" s="24">
        <v>0</v>
      </c>
      <c r="X89" s="18">
        <f t="shared" si="43"/>
        <v>37180</v>
      </c>
      <c r="Y89" s="28">
        <v>8110045953</v>
      </c>
      <c r="Z89" s="14">
        <v>46168</v>
      </c>
      <c r="AA89" s="13" t="s">
        <v>925</v>
      </c>
      <c r="AB89" s="24">
        <v>24.13</v>
      </c>
      <c r="AC89" s="13" t="s">
        <v>110</v>
      </c>
      <c r="AD89" s="13" t="s">
        <v>110</v>
      </c>
      <c r="AE89" s="13" t="s">
        <v>110</v>
      </c>
      <c r="AF89" s="13" t="s">
        <v>110</v>
      </c>
      <c r="AG89" s="13" t="s">
        <v>110</v>
      </c>
      <c r="AH89" s="13" t="s">
        <v>110</v>
      </c>
      <c r="AI89" s="13" t="s">
        <v>110</v>
      </c>
      <c r="AJ89" s="13" t="s">
        <v>110</v>
      </c>
      <c r="AK89" s="13">
        <v>24130</v>
      </c>
      <c r="AL89" s="13" t="s">
        <v>110</v>
      </c>
      <c r="AM89" s="13" t="s">
        <v>246</v>
      </c>
      <c r="AN89" s="16">
        <v>33305</v>
      </c>
      <c r="AO89" s="16" t="s">
        <v>926</v>
      </c>
      <c r="AP89" s="13" t="s">
        <v>115</v>
      </c>
      <c r="AQ89" s="13" t="s">
        <v>116</v>
      </c>
      <c r="AR89" s="13" t="s">
        <v>116</v>
      </c>
      <c r="AS89" s="13">
        <v>72042190</v>
      </c>
      <c r="AT89" s="13" t="s">
        <v>117</v>
      </c>
      <c r="AU89" s="13" t="s">
        <v>927</v>
      </c>
      <c r="AV89" s="13" t="s">
        <v>119</v>
      </c>
      <c r="AW89" s="24">
        <v>800</v>
      </c>
      <c r="AX89" s="13" t="s">
        <v>928</v>
      </c>
      <c r="AY89" s="13">
        <v>9000103112</v>
      </c>
      <c r="AZ89" s="14">
        <v>46224</v>
      </c>
      <c r="BA89" s="45">
        <v>24.13</v>
      </c>
      <c r="BB89" s="24">
        <v>1690</v>
      </c>
      <c r="BC89" s="24">
        <v>0</v>
      </c>
      <c r="BD89" s="24">
        <v>95.45</v>
      </c>
      <c r="BE89" s="24">
        <f t="shared" si="36"/>
        <v>40779.699999999997</v>
      </c>
      <c r="BF89" s="18">
        <v>0</v>
      </c>
      <c r="BG89" s="13" t="s">
        <v>110</v>
      </c>
      <c r="BH89" s="20">
        <f t="shared" si="42"/>
        <v>40779.699999999997</v>
      </c>
      <c r="BI89" s="24">
        <f t="shared" si="28"/>
        <v>3996410.5999999996</v>
      </c>
      <c r="BJ89" s="18">
        <f t="shared" si="37"/>
        <v>40779.699999999997</v>
      </c>
      <c r="BK89" s="24">
        <f t="shared" si="29"/>
        <v>4723857.2394649992</v>
      </c>
      <c r="BL89" s="24">
        <v>3944048.5</v>
      </c>
      <c r="BM89" s="14">
        <v>46120</v>
      </c>
      <c r="BN89" s="24">
        <v>0</v>
      </c>
      <c r="BO89" s="24">
        <v>0</v>
      </c>
      <c r="BP89" s="24">
        <f t="shared" si="39"/>
        <v>0</v>
      </c>
      <c r="BQ89" s="24" t="s">
        <v>211</v>
      </c>
      <c r="BR89" s="13" t="s">
        <v>122</v>
      </c>
      <c r="BS89" s="13" t="s">
        <v>169</v>
      </c>
      <c r="BT89" s="13" t="s">
        <v>124</v>
      </c>
      <c r="BU89" s="13" t="s">
        <v>929</v>
      </c>
      <c r="BV89" s="13" t="s">
        <v>258</v>
      </c>
      <c r="BW89" s="16" t="s">
        <v>127</v>
      </c>
      <c r="BX89" s="13" t="s">
        <v>930</v>
      </c>
      <c r="BY89" s="13" t="s">
        <v>380</v>
      </c>
      <c r="BZ89" s="24"/>
      <c r="CA89" s="18" t="s">
        <v>130</v>
      </c>
      <c r="CB89" s="22" t="s">
        <v>110</v>
      </c>
      <c r="CC89" s="33" t="s">
        <v>110</v>
      </c>
      <c r="CD89" s="18" t="s">
        <v>110</v>
      </c>
      <c r="CE89" s="24" t="s">
        <v>124</v>
      </c>
      <c r="CF89" s="13" t="s">
        <v>124</v>
      </c>
      <c r="CG89" s="13">
        <v>2805977</v>
      </c>
      <c r="CH89" s="13" t="s">
        <v>100</v>
      </c>
      <c r="CI89" s="24">
        <v>97.2</v>
      </c>
      <c r="CJ89" s="24">
        <f t="shared" si="30"/>
        <v>727446.6394649999</v>
      </c>
      <c r="CK89" s="24">
        <v>40779.699999999997</v>
      </c>
      <c r="CL89" s="24">
        <f t="shared" si="44"/>
        <v>3963787</v>
      </c>
      <c r="CM89" s="24">
        <v>0</v>
      </c>
      <c r="CN89" s="18">
        <f t="shared" si="33"/>
        <v>3963787</v>
      </c>
      <c r="CO89" s="18">
        <f t="shared" si="23"/>
        <v>713482</v>
      </c>
      <c r="CP89" s="24">
        <v>3290</v>
      </c>
      <c r="CQ89" s="18">
        <f t="shared" si="34"/>
        <v>716772</v>
      </c>
      <c r="CR89" s="24">
        <f>15000+700+12000+14000+1200+1500+4780+500</f>
        <v>49680</v>
      </c>
      <c r="CS89" s="14">
        <v>46246</v>
      </c>
      <c r="CT89" s="13" t="s">
        <v>110</v>
      </c>
      <c r="CV89" s="16" t="s">
        <v>931</v>
      </c>
    </row>
    <row r="90" spans="1:100" s="13" customFormat="1" ht="43.2">
      <c r="A90" s="12" t="s">
        <v>288</v>
      </c>
      <c r="B90" s="13" t="str">
        <f t="shared" si="35"/>
        <v>090674</v>
      </c>
      <c r="C90" s="13" t="s">
        <v>96</v>
      </c>
      <c r="D90" s="13" t="s">
        <v>97</v>
      </c>
      <c r="E90" s="13" t="s">
        <v>932</v>
      </c>
      <c r="F90" s="14">
        <v>46266</v>
      </c>
      <c r="G90" s="14">
        <f t="shared" si="40"/>
        <v>46279</v>
      </c>
      <c r="H90" s="15" t="s">
        <v>99</v>
      </c>
      <c r="I90" s="15" t="s">
        <v>100</v>
      </c>
      <c r="J90" s="15" t="s">
        <v>100</v>
      </c>
      <c r="K90" s="14">
        <v>46247</v>
      </c>
      <c r="L90" s="13">
        <v>1620021276</v>
      </c>
      <c r="M90" s="13">
        <f t="shared" si="31"/>
        <v>1</v>
      </c>
      <c r="N90" s="43">
        <v>46176</v>
      </c>
      <c r="O90" s="30" t="s">
        <v>893</v>
      </c>
      <c r="P90" s="16" t="s">
        <v>370</v>
      </c>
      <c r="Q90" s="17" t="s">
        <v>933</v>
      </c>
      <c r="R90" s="54" t="s">
        <v>633</v>
      </c>
      <c r="S90" s="13" t="s">
        <v>934</v>
      </c>
      <c r="T90" s="24">
        <v>25</v>
      </c>
      <c r="U90" s="24">
        <v>730</v>
      </c>
      <c r="V90" s="24">
        <f t="shared" si="32"/>
        <v>18250</v>
      </c>
      <c r="W90" s="24">
        <v>0</v>
      </c>
      <c r="X90" s="18">
        <f t="shared" si="43"/>
        <v>18250</v>
      </c>
      <c r="Y90" s="28">
        <v>8110045996</v>
      </c>
      <c r="Z90" s="14">
        <v>46179</v>
      </c>
      <c r="AA90" s="13" t="s">
        <v>935</v>
      </c>
      <c r="AB90" s="24">
        <v>24.84</v>
      </c>
      <c r="AC90" s="13" t="s">
        <v>110</v>
      </c>
      <c r="AD90" s="13" t="s">
        <v>110</v>
      </c>
      <c r="AE90" s="13" t="s">
        <v>110</v>
      </c>
      <c r="AF90" s="13" t="s">
        <v>110</v>
      </c>
      <c r="AG90" s="13" t="s">
        <v>110</v>
      </c>
      <c r="AH90" s="13" t="s">
        <v>110</v>
      </c>
      <c r="AI90" s="13" t="s">
        <v>110</v>
      </c>
      <c r="AJ90" s="13" t="s">
        <v>110</v>
      </c>
      <c r="AK90" s="13">
        <v>24840</v>
      </c>
      <c r="AL90" s="13" t="s">
        <v>936</v>
      </c>
      <c r="AM90" s="13" t="s">
        <v>112</v>
      </c>
      <c r="AN90" s="47" t="s">
        <v>937</v>
      </c>
      <c r="AO90" s="13" t="s">
        <v>907</v>
      </c>
      <c r="AP90" s="13" t="s">
        <v>115</v>
      </c>
      <c r="AQ90" s="13" t="s">
        <v>116</v>
      </c>
      <c r="AR90" s="13" t="s">
        <v>116</v>
      </c>
      <c r="AS90" s="13">
        <v>72044900</v>
      </c>
      <c r="AT90" s="13" t="s">
        <v>117</v>
      </c>
      <c r="AU90" s="13" t="s">
        <v>938</v>
      </c>
      <c r="AV90" s="13" t="s">
        <v>119</v>
      </c>
      <c r="AW90" s="24">
        <v>800</v>
      </c>
      <c r="AX90" s="13" t="s">
        <v>939</v>
      </c>
      <c r="AY90" s="13">
        <v>9000101654</v>
      </c>
      <c r="AZ90" s="14">
        <v>46247</v>
      </c>
      <c r="BA90" s="45">
        <v>24.84</v>
      </c>
      <c r="BB90" s="24">
        <v>730</v>
      </c>
      <c r="BC90" s="24">
        <v>0</v>
      </c>
      <c r="BD90" s="24">
        <v>95.9</v>
      </c>
      <c r="BE90" s="24">
        <f t="shared" si="36"/>
        <v>18133.2</v>
      </c>
      <c r="BF90" s="18">
        <v>0</v>
      </c>
      <c r="BG90" s="13" t="s">
        <v>110</v>
      </c>
      <c r="BH90" s="20">
        <f t="shared" si="42"/>
        <v>18133.2</v>
      </c>
      <c r="BI90" s="24">
        <f t="shared" si="28"/>
        <v>1777053.6</v>
      </c>
      <c r="BJ90" s="18">
        <f t="shared" si="37"/>
        <v>18133.2</v>
      </c>
      <c r="BK90" s="24">
        <f t="shared" si="29"/>
        <v>2100521.7815399999</v>
      </c>
      <c r="BL90" s="24">
        <f t="shared" si="25"/>
        <v>1738973.8800000001</v>
      </c>
      <c r="BM90" s="14">
        <v>46255</v>
      </c>
      <c r="BN90" s="24">
        <v>0</v>
      </c>
      <c r="BO90" s="24">
        <v>0</v>
      </c>
      <c r="BP90" s="24">
        <f t="shared" si="39"/>
        <v>0</v>
      </c>
      <c r="BQ90" s="24">
        <v>0</v>
      </c>
      <c r="BR90" s="13" t="s">
        <v>122</v>
      </c>
      <c r="BS90" s="13" t="s">
        <v>169</v>
      </c>
      <c r="BT90" s="13" t="s">
        <v>124</v>
      </c>
      <c r="BU90" s="13" t="s">
        <v>299</v>
      </c>
      <c r="BV90" s="13" t="s">
        <v>258</v>
      </c>
      <c r="BW90" s="16" t="s">
        <v>127</v>
      </c>
      <c r="BX90" s="13" t="s">
        <v>940</v>
      </c>
      <c r="BY90" s="13" t="s">
        <v>380</v>
      </c>
      <c r="BZ90" s="24">
        <v>34698.949999999997</v>
      </c>
      <c r="CA90" s="18" t="s">
        <v>130</v>
      </c>
      <c r="CB90" s="22" t="s">
        <v>110</v>
      </c>
      <c r="CC90" s="33" t="s">
        <v>110</v>
      </c>
      <c r="CD90" s="18" t="s">
        <v>110</v>
      </c>
      <c r="CE90" s="24" t="s">
        <v>124</v>
      </c>
      <c r="CF90" s="13" t="s">
        <v>124</v>
      </c>
      <c r="CG90" s="13">
        <v>3314929</v>
      </c>
      <c r="CH90" s="13" t="s">
        <v>172</v>
      </c>
      <c r="CI90" s="24">
        <v>96.5</v>
      </c>
      <c r="CJ90" s="24">
        <f t="shared" si="30"/>
        <v>323468.18154000002</v>
      </c>
      <c r="CK90" s="24">
        <v>18133.2</v>
      </c>
      <c r="CL90" s="24">
        <f t="shared" si="44"/>
        <v>1749854</v>
      </c>
      <c r="CM90" s="24">
        <v>0</v>
      </c>
      <c r="CN90" s="18">
        <f t="shared" si="33"/>
        <v>1749854</v>
      </c>
      <c r="CO90" s="18">
        <f t="shared" si="23"/>
        <v>314974</v>
      </c>
      <c r="CP90" s="24">
        <v>0</v>
      </c>
      <c r="CQ90" s="18">
        <f t="shared" si="34"/>
        <v>314974</v>
      </c>
      <c r="CR90" s="24"/>
      <c r="CS90" s="14">
        <v>46276</v>
      </c>
      <c r="CT90" s="13" t="s">
        <v>110</v>
      </c>
      <c r="CU90" s="13" t="s">
        <v>941</v>
      </c>
      <c r="CV90" s="16" t="s">
        <v>261</v>
      </c>
    </row>
    <row r="91" spans="1:100" s="13" customFormat="1" ht="28.8">
      <c r="A91" s="12" t="s">
        <v>288</v>
      </c>
      <c r="B91" s="13" t="str">
        <f t="shared" si="35"/>
        <v/>
      </c>
      <c r="C91" s="13" t="s">
        <v>571</v>
      </c>
      <c r="D91" s="13" t="s">
        <v>97</v>
      </c>
      <c r="G91" s="14">
        <f t="shared" si="40"/>
        <v>13</v>
      </c>
      <c r="H91" s="15" t="s">
        <v>99</v>
      </c>
      <c r="I91" s="15"/>
      <c r="J91" s="15"/>
      <c r="L91" s="13">
        <v>1620021275</v>
      </c>
      <c r="M91" s="13">
        <f t="shared" si="31"/>
        <v>0</v>
      </c>
      <c r="N91" s="43">
        <v>46176</v>
      </c>
      <c r="O91" s="30"/>
      <c r="P91" s="16" t="s">
        <v>370</v>
      </c>
      <c r="Q91" s="17" t="s">
        <v>933</v>
      </c>
      <c r="T91" s="24">
        <v>25</v>
      </c>
      <c r="U91" s="24">
        <v>1420</v>
      </c>
      <c r="V91" s="24">
        <f t="shared" si="32"/>
        <v>35500</v>
      </c>
      <c r="W91" s="24">
        <v>0</v>
      </c>
      <c r="X91" s="18">
        <f t="shared" si="43"/>
        <v>35500</v>
      </c>
      <c r="Y91" s="28"/>
      <c r="AC91" s="13" t="s">
        <v>110</v>
      </c>
      <c r="AD91" s="13" t="s">
        <v>110</v>
      </c>
      <c r="AE91" s="13" t="s">
        <v>110</v>
      </c>
      <c r="AF91" s="13" t="s">
        <v>110</v>
      </c>
      <c r="AG91" s="13" t="s">
        <v>110</v>
      </c>
      <c r="AH91" s="13" t="s">
        <v>110</v>
      </c>
      <c r="AI91" s="13" t="s">
        <v>110</v>
      </c>
      <c r="AJ91" s="13" t="s">
        <v>110</v>
      </c>
      <c r="AL91" s="13" t="s">
        <v>110</v>
      </c>
      <c r="AM91" s="13" t="s">
        <v>112</v>
      </c>
      <c r="AN91" s="16"/>
      <c r="AP91" s="13" t="s">
        <v>115</v>
      </c>
      <c r="AQ91" s="13" t="s">
        <v>116</v>
      </c>
      <c r="AR91" s="13" t="s">
        <v>116</v>
      </c>
      <c r="AT91" s="13" t="s">
        <v>117</v>
      </c>
      <c r="AW91" s="24"/>
      <c r="BA91" s="45"/>
      <c r="BB91" s="24"/>
      <c r="BC91" s="24">
        <v>0</v>
      </c>
      <c r="BD91" s="24">
        <v>0</v>
      </c>
      <c r="BE91" s="24">
        <f t="shared" si="36"/>
        <v>0</v>
      </c>
      <c r="BF91" s="18">
        <v>0</v>
      </c>
      <c r="BG91" s="13" t="s">
        <v>110</v>
      </c>
      <c r="BH91" s="20">
        <f t="shared" si="42"/>
        <v>0</v>
      </c>
      <c r="BI91" s="24">
        <f t="shared" si="28"/>
        <v>0</v>
      </c>
      <c r="BJ91" s="18">
        <f t="shared" si="37"/>
        <v>0</v>
      </c>
      <c r="BK91" s="24">
        <f t="shared" si="29"/>
        <v>0</v>
      </c>
      <c r="BL91" s="24">
        <f t="shared" si="25"/>
        <v>0</v>
      </c>
      <c r="BN91" s="24">
        <v>0</v>
      </c>
      <c r="BO91" s="24">
        <v>0</v>
      </c>
      <c r="BP91" s="24">
        <f t="shared" si="39"/>
        <v>0</v>
      </c>
      <c r="BQ91" s="24">
        <v>0</v>
      </c>
      <c r="BR91" s="13" t="s">
        <v>581</v>
      </c>
      <c r="BS91" s="13" t="s">
        <v>169</v>
      </c>
      <c r="BT91" s="13" t="s">
        <v>124</v>
      </c>
      <c r="BW91" s="16"/>
      <c r="BY91" s="13" t="s">
        <v>129</v>
      </c>
      <c r="BZ91" s="24"/>
      <c r="CA91" s="24"/>
      <c r="CB91" s="22" t="s">
        <v>110</v>
      </c>
      <c r="CC91" s="33" t="s">
        <v>110</v>
      </c>
      <c r="CD91" s="18" t="s">
        <v>110</v>
      </c>
      <c r="CE91" s="24" t="s">
        <v>124</v>
      </c>
      <c r="CF91" s="13" t="s">
        <v>124</v>
      </c>
      <c r="CH91" s="13" t="s">
        <v>172</v>
      </c>
      <c r="CI91" s="24"/>
      <c r="CJ91" s="24">
        <f t="shared" si="30"/>
        <v>0</v>
      </c>
      <c r="CK91" s="24"/>
      <c r="CL91" s="24">
        <f t="shared" ref="CL91:CL93" si="45">ROUND(((CK91*CI91)),0)</f>
        <v>0</v>
      </c>
      <c r="CM91" s="24">
        <v>0</v>
      </c>
      <c r="CN91" s="18">
        <f t="shared" si="33"/>
        <v>0</v>
      </c>
      <c r="CO91" s="18">
        <f t="shared" si="23"/>
        <v>0</v>
      </c>
      <c r="CP91" s="24">
        <v>0</v>
      </c>
      <c r="CQ91" s="18">
        <f t="shared" si="34"/>
        <v>0</v>
      </c>
      <c r="CR91" s="24"/>
      <c r="CT91" s="13" t="s">
        <v>110</v>
      </c>
    </row>
    <row r="92" spans="1:100" s="13" customFormat="1" ht="43.2">
      <c r="A92" s="12" t="s">
        <v>288</v>
      </c>
      <c r="B92" s="13" t="str">
        <f t="shared" si="35"/>
        <v>085706</v>
      </c>
      <c r="C92" s="13" t="s">
        <v>96</v>
      </c>
      <c r="D92" s="13" t="s">
        <v>97</v>
      </c>
      <c r="E92" s="13" t="s">
        <v>942</v>
      </c>
      <c r="F92" s="14">
        <v>46264</v>
      </c>
      <c r="G92" s="14">
        <f t="shared" si="40"/>
        <v>46277</v>
      </c>
      <c r="H92" s="15" t="s">
        <v>99</v>
      </c>
      <c r="I92" s="15" t="s">
        <v>100</v>
      </c>
      <c r="J92" s="15" t="s">
        <v>100</v>
      </c>
      <c r="K92" s="14">
        <v>46253</v>
      </c>
      <c r="L92" s="13">
        <v>1620021310</v>
      </c>
      <c r="M92" s="13">
        <f t="shared" si="31"/>
        <v>1</v>
      </c>
      <c r="N92" s="43">
        <v>46184</v>
      </c>
      <c r="O92" s="30" t="s">
        <v>893</v>
      </c>
      <c r="P92" s="16" t="s">
        <v>370</v>
      </c>
      <c r="Q92" s="17" t="s">
        <v>943</v>
      </c>
      <c r="R92" s="13" t="s">
        <v>944</v>
      </c>
      <c r="T92" s="24">
        <v>25</v>
      </c>
      <c r="U92" s="24">
        <v>700</v>
      </c>
      <c r="V92" s="24">
        <f t="shared" si="32"/>
        <v>17500</v>
      </c>
      <c r="W92" s="24">
        <v>0</v>
      </c>
      <c r="X92" s="18">
        <f t="shared" si="43"/>
        <v>17500</v>
      </c>
      <c r="Y92" s="28">
        <v>8110046106</v>
      </c>
      <c r="Z92" s="14">
        <v>46193</v>
      </c>
      <c r="AA92" s="13" t="s">
        <v>945</v>
      </c>
      <c r="AB92" s="24">
        <v>25.756</v>
      </c>
      <c r="AC92" s="13" t="s">
        <v>110</v>
      </c>
      <c r="AD92" s="13" t="s">
        <v>110</v>
      </c>
      <c r="AE92" s="13" t="s">
        <v>110</v>
      </c>
      <c r="AF92" s="13" t="s">
        <v>110</v>
      </c>
      <c r="AG92" s="13" t="s">
        <v>110</v>
      </c>
      <c r="AH92" s="13" t="s">
        <v>110</v>
      </c>
      <c r="AI92" s="13" t="s">
        <v>110</v>
      </c>
      <c r="AJ92" s="13" t="s">
        <v>110</v>
      </c>
      <c r="AK92" s="13">
        <v>25760</v>
      </c>
      <c r="AL92" s="13" t="s">
        <v>946</v>
      </c>
      <c r="AM92" s="13" t="s">
        <v>112</v>
      </c>
      <c r="AN92" s="47" t="s">
        <v>947</v>
      </c>
      <c r="AO92" s="16" t="s">
        <v>948</v>
      </c>
      <c r="AP92" s="13" t="s">
        <v>115</v>
      </c>
      <c r="AQ92" s="13" t="s">
        <v>116</v>
      </c>
      <c r="AR92" s="13" t="s">
        <v>116</v>
      </c>
      <c r="AS92" s="13">
        <v>72044900</v>
      </c>
      <c r="AT92" s="13" t="s">
        <v>117</v>
      </c>
      <c r="AU92" s="13" t="s">
        <v>949</v>
      </c>
      <c r="AV92" s="13" t="s">
        <v>119</v>
      </c>
      <c r="AW92" s="24">
        <v>1600</v>
      </c>
      <c r="AX92" s="16" t="s">
        <v>950</v>
      </c>
      <c r="AY92" s="13">
        <v>9000103023</v>
      </c>
      <c r="AZ92" s="14">
        <v>46253</v>
      </c>
      <c r="BA92" s="45">
        <v>25.76</v>
      </c>
      <c r="BB92" s="24">
        <v>700</v>
      </c>
      <c r="BC92" s="24">
        <v>0</v>
      </c>
      <c r="BD92" s="24">
        <v>95.1</v>
      </c>
      <c r="BE92" s="24">
        <f t="shared" si="36"/>
        <v>18032</v>
      </c>
      <c r="BF92" s="18">
        <v>0</v>
      </c>
      <c r="BG92" s="13" t="s">
        <v>110</v>
      </c>
      <c r="BH92" s="20">
        <f t="shared" si="42"/>
        <v>18032</v>
      </c>
      <c r="BI92" s="24">
        <f t="shared" si="28"/>
        <v>1767136</v>
      </c>
      <c r="BJ92" s="18">
        <f t="shared" si="37"/>
        <v>18032</v>
      </c>
      <c r="BK92" s="24">
        <f t="shared" si="29"/>
        <v>2088798.9304</v>
      </c>
      <c r="BL92" s="24">
        <f t="shared" si="25"/>
        <v>1714843.2</v>
      </c>
      <c r="BM92" s="14">
        <v>46273</v>
      </c>
      <c r="BN92" s="24">
        <v>0</v>
      </c>
      <c r="BO92" s="24">
        <v>0</v>
      </c>
      <c r="BP92" s="24">
        <f t="shared" si="39"/>
        <v>0</v>
      </c>
      <c r="BQ92" s="24"/>
      <c r="BR92" s="13" t="s">
        <v>122</v>
      </c>
      <c r="BS92" s="13" t="s">
        <v>169</v>
      </c>
      <c r="BT92" s="13" t="s">
        <v>124</v>
      </c>
      <c r="BU92" s="13" t="s">
        <v>154</v>
      </c>
      <c r="BV92" s="13" t="s">
        <v>258</v>
      </c>
      <c r="BW92" s="16" t="s">
        <v>127</v>
      </c>
      <c r="BX92" s="13" t="s">
        <v>951</v>
      </c>
      <c r="BY92" s="13" t="s">
        <v>380</v>
      </c>
      <c r="BZ92" s="24">
        <v>27769</v>
      </c>
      <c r="CA92" s="18" t="s">
        <v>130</v>
      </c>
      <c r="CB92" s="22">
        <v>46278</v>
      </c>
      <c r="CC92" s="33">
        <v>46281</v>
      </c>
      <c r="CD92" s="18">
        <v>29799</v>
      </c>
      <c r="CE92" s="24" t="s">
        <v>124</v>
      </c>
      <c r="CF92" s="13" t="s">
        <v>779</v>
      </c>
      <c r="CG92" s="13">
        <v>3572348</v>
      </c>
      <c r="CH92" s="13" t="s">
        <v>100</v>
      </c>
      <c r="CI92" s="24">
        <v>95.25</v>
      </c>
      <c r="CJ92" s="24">
        <f t="shared" si="30"/>
        <v>321662.93040000001</v>
      </c>
      <c r="CK92" s="24">
        <v>18029.2</v>
      </c>
      <c r="CL92" s="24">
        <f>ROUND(CK92*CI92,0)</f>
        <v>1717281</v>
      </c>
      <c r="CM92" s="24">
        <v>0</v>
      </c>
      <c r="CN92" s="18">
        <f t="shared" si="33"/>
        <v>1717281</v>
      </c>
      <c r="CO92" s="18">
        <f t="shared" si="23"/>
        <v>309111</v>
      </c>
      <c r="CP92" s="24">
        <v>45000</v>
      </c>
      <c r="CQ92" s="18">
        <f t="shared" si="34"/>
        <v>354111</v>
      </c>
      <c r="CR92" s="24"/>
      <c r="CS92" s="14">
        <v>46281</v>
      </c>
      <c r="CT92" s="13" t="s">
        <v>110</v>
      </c>
      <c r="CU92" s="13" t="s">
        <v>952</v>
      </c>
      <c r="CV92" s="16" t="s">
        <v>261</v>
      </c>
    </row>
    <row r="93" spans="1:100" s="13" customFormat="1" ht="28.8">
      <c r="A93" s="12" t="s">
        <v>288</v>
      </c>
      <c r="B93" s="13" t="str">
        <f t="shared" si="35"/>
        <v>000851</v>
      </c>
      <c r="C93" s="13" t="s">
        <v>571</v>
      </c>
      <c r="D93" s="13" t="s">
        <v>97</v>
      </c>
      <c r="E93" s="13" t="s">
        <v>953</v>
      </c>
      <c r="F93" s="14">
        <v>46329</v>
      </c>
      <c r="G93" s="14">
        <f t="shared" si="40"/>
        <v>46342</v>
      </c>
      <c r="H93" s="15" t="s">
        <v>99</v>
      </c>
      <c r="I93" s="15"/>
      <c r="J93" s="15"/>
      <c r="L93" s="13">
        <v>1620021366</v>
      </c>
      <c r="M93" s="13">
        <f t="shared" si="31"/>
        <v>1</v>
      </c>
      <c r="N93" s="43">
        <v>46197</v>
      </c>
      <c r="O93" s="30" t="s">
        <v>369</v>
      </c>
      <c r="P93" s="16" t="s">
        <v>370</v>
      </c>
      <c r="Q93" s="17" t="s">
        <v>954</v>
      </c>
      <c r="R93" s="13" t="s">
        <v>955</v>
      </c>
      <c r="S93" s="13" t="s">
        <v>956</v>
      </c>
      <c r="T93" s="24">
        <v>22</v>
      </c>
      <c r="U93" s="24">
        <v>3175</v>
      </c>
      <c r="V93" s="24">
        <f t="shared" si="32"/>
        <v>69850</v>
      </c>
      <c r="W93" s="24">
        <v>0</v>
      </c>
      <c r="X93" s="18">
        <f t="shared" si="43"/>
        <v>69850</v>
      </c>
      <c r="Y93" s="28">
        <v>8110046615</v>
      </c>
      <c r="Z93" s="14">
        <v>46219</v>
      </c>
      <c r="AA93" s="13" t="s">
        <v>957</v>
      </c>
      <c r="AB93" s="24">
        <v>24.66</v>
      </c>
      <c r="AC93" s="13" t="s">
        <v>110</v>
      </c>
      <c r="AD93" s="13" t="s">
        <v>110</v>
      </c>
      <c r="AE93" s="13" t="s">
        <v>110</v>
      </c>
      <c r="AF93" s="13" t="s">
        <v>110</v>
      </c>
      <c r="AG93" s="13" t="s">
        <v>110</v>
      </c>
      <c r="AH93" s="13" t="s">
        <v>110</v>
      </c>
      <c r="AI93" s="13" t="s">
        <v>110</v>
      </c>
      <c r="AJ93" s="13" t="s">
        <v>110</v>
      </c>
      <c r="AK93" s="13">
        <v>24660</v>
      </c>
      <c r="AL93" s="13" t="s">
        <v>958</v>
      </c>
      <c r="AM93" s="13" t="s">
        <v>112</v>
      </c>
      <c r="AN93" s="16">
        <v>20268</v>
      </c>
      <c r="AO93" s="13" t="s">
        <v>959</v>
      </c>
      <c r="AP93" s="13" t="s">
        <v>115</v>
      </c>
      <c r="AQ93" s="13" t="s">
        <v>116</v>
      </c>
      <c r="AR93" s="13" t="s">
        <v>116</v>
      </c>
      <c r="AS93" s="13">
        <v>72042190</v>
      </c>
      <c r="AT93" s="13" t="s">
        <v>117</v>
      </c>
      <c r="AW93" s="24"/>
      <c r="BA93" s="45"/>
      <c r="BB93" s="24"/>
      <c r="BC93" s="24">
        <v>0</v>
      </c>
      <c r="BD93" s="24">
        <v>0</v>
      </c>
      <c r="BE93" s="24">
        <f t="shared" si="36"/>
        <v>0</v>
      </c>
      <c r="BF93" s="18">
        <v>0</v>
      </c>
      <c r="BG93" s="13" t="s">
        <v>110</v>
      </c>
      <c r="BH93" s="20">
        <f t="shared" si="42"/>
        <v>0</v>
      </c>
      <c r="BI93" s="24">
        <f t="shared" si="28"/>
        <v>0</v>
      </c>
      <c r="BJ93" s="18">
        <f t="shared" si="37"/>
        <v>0</v>
      </c>
      <c r="BK93" s="24">
        <f t="shared" si="29"/>
        <v>1396670.3619749998</v>
      </c>
      <c r="BL93" s="24">
        <f t="shared" si="25"/>
        <v>0</v>
      </c>
      <c r="BN93" s="24">
        <v>0</v>
      </c>
      <c r="BO93" s="24">
        <v>0</v>
      </c>
      <c r="BP93" s="24">
        <f t="shared" si="39"/>
        <v>0</v>
      </c>
      <c r="BQ93" s="24">
        <v>0</v>
      </c>
      <c r="BR93" s="13" t="s">
        <v>581</v>
      </c>
      <c r="BS93" s="13" t="s">
        <v>169</v>
      </c>
      <c r="BT93" s="13" t="s">
        <v>124</v>
      </c>
      <c r="BW93" s="16"/>
      <c r="BY93" s="13" t="s">
        <v>129</v>
      </c>
      <c r="BZ93" s="24"/>
      <c r="CA93" s="24"/>
      <c r="CB93" s="22" t="s">
        <v>110</v>
      </c>
      <c r="CC93" s="33" t="s">
        <v>110</v>
      </c>
      <c r="CD93" s="18" t="s">
        <v>110</v>
      </c>
      <c r="CE93" s="24" t="s">
        <v>124</v>
      </c>
      <c r="CF93" s="13" t="s">
        <v>124</v>
      </c>
      <c r="CH93" s="13" t="s">
        <v>172</v>
      </c>
      <c r="CI93" s="24"/>
      <c r="CJ93" s="24">
        <f t="shared" si="30"/>
        <v>1396670.3619749998</v>
      </c>
      <c r="CK93" s="24"/>
      <c r="CL93" s="24">
        <f t="shared" si="45"/>
        <v>0</v>
      </c>
      <c r="CM93" s="24">
        <v>0</v>
      </c>
      <c r="CN93" s="18">
        <f t="shared" si="33"/>
        <v>0</v>
      </c>
      <c r="CO93" s="18">
        <f t="shared" si="23"/>
        <v>0</v>
      </c>
      <c r="CP93" s="24">
        <v>0</v>
      </c>
      <c r="CQ93" s="18">
        <f t="shared" si="34"/>
        <v>0</v>
      </c>
      <c r="CR93" s="24"/>
      <c r="CT93" s="13" t="s">
        <v>110</v>
      </c>
    </row>
    <row r="94" spans="1:100" s="13" customFormat="1" ht="28.8">
      <c r="A94" s="12" t="s">
        <v>288</v>
      </c>
      <c r="B94" s="13" t="str">
        <f t="shared" si="35"/>
        <v>166769</v>
      </c>
      <c r="C94" s="13" t="s">
        <v>96</v>
      </c>
      <c r="D94" s="13" t="s">
        <v>97</v>
      </c>
      <c r="E94" s="13">
        <v>272166769</v>
      </c>
      <c r="F94" s="14">
        <v>46244</v>
      </c>
      <c r="G94" s="14">
        <f t="shared" si="40"/>
        <v>46257</v>
      </c>
      <c r="H94" s="15" t="s">
        <v>99</v>
      </c>
      <c r="I94" s="15" t="s">
        <v>100</v>
      </c>
      <c r="J94" s="15" t="s">
        <v>100</v>
      </c>
      <c r="K94" s="14">
        <v>46245</v>
      </c>
      <c r="L94" s="13">
        <v>1620021374</v>
      </c>
      <c r="M94" s="13">
        <f t="shared" si="31"/>
        <v>1</v>
      </c>
      <c r="N94" s="43">
        <v>46200</v>
      </c>
      <c r="O94" s="30" t="s">
        <v>369</v>
      </c>
      <c r="P94" s="16" t="s">
        <v>370</v>
      </c>
      <c r="Q94" s="17" t="s">
        <v>960</v>
      </c>
      <c r="R94" s="13" t="s">
        <v>961</v>
      </c>
      <c r="S94" s="13" t="s">
        <v>305</v>
      </c>
      <c r="T94" s="24">
        <v>22</v>
      </c>
      <c r="U94" s="24">
        <v>2775</v>
      </c>
      <c r="V94" s="24">
        <f t="shared" si="32"/>
        <v>61050</v>
      </c>
      <c r="W94" s="24">
        <v>0</v>
      </c>
      <c r="X94" s="18">
        <f t="shared" si="43"/>
        <v>61050</v>
      </c>
      <c r="Y94" s="28">
        <v>8110046348</v>
      </c>
      <c r="Z94" s="14">
        <v>46210</v>
      </c>
      <c r="AA94" s="13" t="s">
        <v>962</v>
      </c>
      <c r="AB94" s="13">
        <v>22.31</v>
      </c>
      <c r="AC94" s="13" t="s">
        <v>110</v>
      </c>
      <c r="AD94" s="13" t="s">
        <v>110</v>
      </c>
      <c r="AE94" s="13" t="s">
        <v>110</v>
      </c>
      <c r="AF94" s="13" t="s">
        <v>110</v>
      </c>
      <c r="AG94" s="13" t="s">
        <v>110</v>
      </c>
      <c r="AH94" s="13" t="s">
        <v>110</v>
      </c>
      <c r="AI94" s="13" t="s">
        <v>110</v>
      </c>
      <c r="AJ94" s="13" t="s">
        <v>110</v>
      </c>
      <c r="AK94" s="13">
        <v>22310</v>
      </c>
      <c r="AL94" s="13" t="s">
        <v>110</v>
      </c>
      <c r="AM94" s="13" t="s">
        <v>112</v>
      </c>
      <c r="AN94" s="16">
        <v>33475</v>
      </c>
      <c r="AO94" s="16" t="s">
        <v>671</v>
      </c>
      <c r="AP94" s="13" t="s">
        <v>115</v>
      </c>
      <c r="AQ94" s="13" t="s">
        <v>116</v>
      </c>
      <c r="AR94" s="13" t="s">
        <v>116</v>
      </c>
      <c r="AS94" s="13">
        <v>72042190</v>
      </c>
      <c r="AT94" s="13" t="s">
        <v>117</v>
      </c>
      <c r="AU94" s="13" t="s">
        <v>963</v>
      </c>
      <c r="AV94" s="13" t="s">
        <v>119</v>
      </c>
      <c r="AW94" s="24">
        <v>800</v>
      </c>
      <c r="AX94" s="13" t="s">
        <v>964</v>
      </c>
      <c r="AY94" s="13">
        <v>9000102792</v>
      </c>
      <c r="AZ94" s="14">
        <v>46233</v>
      </c>
      <c r="BA94" s="45">
        <v>22.31</v>
      </c>
      <c r="BB94" s="24">
        <v>2775</v>
      </c>
      <c r="BC94" s="24">
        <v>0</v>
      </c>
      <c r="BD94" s="24">
        <v>95.55</v>
      </c>
      <c r="BE94" s="24">
        <f t="shared" si="36"/>
        <v>61910.25</v>
      </c>
      <c r="BF94" s="18">
        <v>0</v>
      </c>
      <c r="BG94" s="13" t="s">
        <v>110</v>
      </c>
      <c r="BH94" s="20">
        <f t="shared" si="42"/>
        <v>61910.25</v>
      </c>
      <c r="BI94" s="24">
        <f t="shared" si="28"/>
        <v>6067204.5</v>
      </c>
      <c r="BJ94" s="18">
        <f t="shared" si="37"/>
        <v>61910.25</v>
      </c>
      <c r="BK94" s="24">
        <f t="shared" si="29"/>
        <v>7171587.3991125003</v>
      </c>
      <c r="BL94" s="24">
        <f t="shared" si="25"/>
        <v>5915524.3875000002</v>
      </c>
      <c r="BM94" s="14">
        <v>46364</v>
      </c>
      <c r="BN94" s="24">
        <v>0</v>
      </c>
      <c r="BO94" s="24">
        <v>0</v>
      </c>
      <c r="BP94" s="24">
        <f t="shared" si="39"/>
        <v>0</v>
      </c>
      <c r="BQ94" s="24">
        <v>0</v>
      </c>
      <c r="BR94" s="13" t="s">
        <v>122</v>
      </c>
      <c r="BS94" s="13" t="s">
        <v>169</v>
      </c>
      <c r="BT94" s="13" t="s">
        <v>124</v>
      </c>
      <c r="BU94" s="13" t="s">
        <v>222</v>
      </c>
      <c r="BV94" s="13" t="s">
        <v>965</v>
      </c>
      <c r="BW94" s="16" t="s">
        <v>127</v>
      </c>
      <c r="BX94" s="13" t="s">
        <v>966</v>
      </c>
      <c r="BY94" s="13" t="s">
        <v>380</v>
      </c>
      <c r="BZ94" s="24">
        <f>3000+6710+12200</f>
        <v>21910</v>
      </c>
      <c r="CA94" s="18" t="s">
        <v>130</v>
      </c>
      <c r="CB94" s="22" t="s">
        <v>110</v>
      </c>
      <c r="CC94" s="33" t="s">
        <v>110</v>
      </c>
      <c r="CD94" s="18" t="s">
        <v>110</v>
      </c>
      <c r="CE94" s="24" t="s">
        <v>124</v>
      </c>
      <c r="CF94" s="13" t="s">
        <v>124</v>
      </c>
      <c r="CG94" s="13">
        <v>3028945</v>
      </c>
      <c r="CH94" s="13" t="s">
        <v>100</v>
      </c>
      <c r="CI94" s="24">
        <v>96.05</v>
      </c>
      <c r="CJ94" s="24">
        <f t="shared" si="30"/>
        <v>1104382.8991125</v>
      </c>
      <c r="CK94" s="24">
        <v>61910.25</v>
      </c>
      <c r="CL94" s="24">
        <f t="shared" ref="CL94:CL96" si="46">ROUND(CK94*CI94,0)</f>
        <v>5946480</v>
      </c>
      <c r="CM94" s="24">
        <v>0</v>
      </c>
      <c r="CN94" s="18">
        <f t="shared" si="33"/>
        <v>5946480</v>
      </c>
      <c r="CO94" s="18">
        <f t="shared" si="23"/>
        <v>1070366</v>
      </c>
      <c r="CP94" s="24">
        <v>1795</v>
      </c>
      <c r="CQ94" s="18">
        <f t="shared" si="34"/>
        <v>1072161</v>
      </c>
      <c r="CR94" s="24">
        <f>13000+2250+700+8500+11500+750+800+2000+7160+500</f>
        <v>47160</v>
      </c>
      <c r="CS94" s="14">
        <v>46249</v>
      </c>
      <c r="CT94" s="13" t="s">
        <v>110</v>
      </c>
      <c r="CU94" s="13" t="s">
        <v>967</v>
      </c>
    </row>
    <row r="95" spans="1:100" s="29" customFormat="1" ht="57.6">
      <c r="A95" s="12" t="s">
        <v>288</v>
      </c>
      <c r="B95" s="13" t="str">
        <f t="shared" si="35"/>
        <v>517154</v>
      </c>
      <c r="C95" s="13" t="s">
        <v>96</v>
      </c>
      <c r="D95" s="13" t="s">
        <v>97</v>
      </c>
      <c r="E95" s="13" t="s">
        <v>968</v>
      </c>
      <c r="F95" s="14">
        <v>46221</v>
      </c>
      <c r="G95" s="14">
        <f t="shared" si="40"/>
        <v>46234</v>
      </c>
      <c r="H95" s="15" t="s">
        <v>99</v>
      </c>
      <c r="I95" s="15" t="s">
        <v>100</v>
      </c>
      <c r="J95" s="15" t="s">
        <v>100</v>
      </c>
      <c r="K95" s="14">
        <v>46175</v>
      </c>
      <c r="L95" s="13"/>
      <c r="M95" s="13">
        <f t="shared" si="31"/>
        <v>1</v>
      </c>
      <c r="N95" s="13" t="s">
        <v>110</v>
      </c>
      <c r="O95" s="16" t="s">
        <v>969</v>
      </c>
      <c r="P95" s="16" t="s">
        <v>970</v>
      </c>
      <c r="Q95" s="17" t="s">
        <v>971</v>
      </c>
      <c r="R95" s="13" t="s">
        <v>972</v>
      </c>
      <c r="S95" s="16" t="s">
        <v>973</v>
      </c>
      <c r="T95" s="24">
        <v>17.9575</v>
      </c>
      <c r="U95" s="24">
        <v>2214</v>
      </c>
      <c r="V95" s="24">
        <f t="shared" si="32"/>
        <v>39757.904999999999</v>
      </c>
      <c r="W95" s="24">
        <v>0</v>
      </c>
      <c r="X95" s="18">
        <f t="shared" si="43"/>
        <v>39757.904999999999</v>
      </c>
      <c r="Y95" s="13" t="s">
        <v>110</v>
      </c>
      <c r="Z95" s="13" t="s">
        <v>110</v>
      </c>
      <c r="AA95" s="13" t="s">
        <v>974</v>
      </c>
      <c r="AB95" s="24">
        <v>17.9575</v>
      </c>
      <c r="AC95" s="13" t="s">
        <v>110</v>
      </c>
      <c r="AD95" s="13" t="s">
        <v>110</v>
      </c>
      <c r="AE95" s="13" t="s">
        <v>110</v>
      </c>
      <c r="AF95" s="13" t="s">
        <v>110</v>
      </c>
      <c r="AG95" s="13" t="s">
        <v>110</v>
      </c>
      <c r="AH95" s="13" t="s">
        <v>110</v>
      </c>
      <c r="AI95" s="13" t="s">
        <v>110</v>
      </c>
      <c r="AJ95" s="13" t="s">
        <v>110</v>
      </c>
      <c r="AK95" s="13">
        <v>17957</v>
      </c>
      <c r="AL95" s="13" t="s">
        <v>110</v>
      </c>
      <c r="AM95" s="13" t="s">
        <v>112</v>
      </c>
      <c r="AN95" s="47" t="s">
        <v>975</v>
      </c>
      <c r="AO95" s="16" t="s">
        <v>976</v>
      </c>
      <c r="AP95" s="13" t="s">
        <v>977</v>
      </c>
      <c r="AQ95" s="13" t="s">
        <v>165</v>
      </c>
      <c r="AR95" s="13" t="s">
        <v>978</v>
      </c>
      <c r="AS95" s="13">
        <v>72044900</v>
      </c>
      <c r="AT95" s="13"/>
      <c r="AU95" s="13" t="s">
        <v>979</v>
      </c>
      <c r="AV95" s="13" t="s">
        <v>119</v>
      </c>
      <c r="AW95" s="24">
        <v>800</v>
      </c>
      <c r="AX95" s="13" t="s">
        <v>980</v>
      </c>
      <c r="AY95" s="13" t="s">
        <v>981</v>
      </c>
      <c r="AZ95" s="14">
        <v>46164</v>
      </c>
      <c r="BA95" s="20">
        <f>AB95</f>
        <v>17.9575</v>
      </c>
      <c r="BB95" s="24">
        <v>2214</v>
      </c>
      <c r="BC95" s="24">
        <v>0</v>
      </c>
      <c r="BD95" s="24"/>
      <c r="BE95" s="24">
        <f t="shared" si="36"/>
        <v>39757.904999999999</v>
      </c>
      <c r="BF95" s="18">
        <v>0</v>
      </c>
      <c r="BG95" s="13" t="s">
        <v>110</v>
      </c>
      <c r="BH95" s="20">
        <f t="shared" si="42"/>
        <v>39757.904999999999</v>
      </c>
      <c r="BI95" s="24">
        <f t="shared" si="28"/>
        <v>3896274.69</v>
      </c>
      <c r="BJ95" s="18">
        <f t="shared" si="37"/>
        <v>39757.904999999999</v>
      </c>
      <c r="BK95" s="24">
        <f t="shared" si="29"/>
        <v>4605474.3432831001</v>
      </c>
      <c r="BL95" s="24">
        <f t="shared" si="25"/>
        <v>0</v>
      </c>
      <c r="BM95" s="13"/>
      <c r="BN95" s="24">
        <v>0</v>
      </c>
      <c r="BO95" s="24">
        <v>0</v>
      </c>
      <c r="BP95" s="24">
        <f t="shared" si="39"/>
        <v>0</v>
      </c>
      <c r="BQ95" s="24"/>
      <c r="BR95" s="13" t="s">
        <v>122</v>
      </c>
      <c r="BS95" s="13" t="s">
        <v>169</v>
      </c>
      <c r="BT95" s="13" t="s">
        <v>124</v>
      </c>
      <c r="BU95" s="13" t="s">
        <v>929</v>
      </c>
      <c r="BV95" s="16" t="s">
        <v>982</v>
      </c>
      <c r="BW95" s="16" t="s">
        <v>982</v>
      </c>
      <c r="BX95" s="13" t="s">
        <v>124</v>
      </c>
      <c r="BY95" s="13" t="s">
        <v>380</v>
      </c>
      <c r="BZ95" s="24">
        <f>6095+56761</f>
        <v>62856</v>
      </c>
      <c r="CA95" s="18" t="s">
        <v>130</v>
      </c>
      <c r="CB95" s="22" t="s">
        <v>110</v>
      </c>
      <c r="CC95" s="33" t="s">
        <v>110</v>
      </c>
      <c r="CD95" s="18" t="s">
        <v>110</v>
      </c>
      <c r="CE95" s="24" t="s">
        <v>124</v>
      </c>
      <c r="CF95" s="13" t="s">
        <v>124</v>
      </c>
      <c r="CG95" s="13">
        <v>2533884</v>
      </c>
      <c r="CH95" s="13" t="s">
        <v>100</v>
      </c>
      <c r="CI95" s="24">
        <v>95.2</v>
      </c>
      <c r="CJ95" s="24">
        <f t="shared" si="30"/>
        <v>709199.65328309999</v>
      </c>
      <c r="CK95" s="24">
        <v>39757.910000000003</v>
      </c>
      <c r="CL95" s="24">
        <f t="shared" si="46"/>
        <v>3784953</v>
      </c>
      <c r="CM95" s="24">
        <v>0</v>
      </c>
      <c r="CN95" s="18">
        <f t="shared" si="33"/>
        <v>3784953</v>
      </c>
      <c r="CO95" s="18">
        <f t="shared" si="23"/>
        <v>681292</v>
      </c>
      <c r="CP95" s="24">
        <v>2888</v>
      </c>
      <c r="CQ95" s="18">
        <f t="shared" si="34"/>
        <v>684180</v>
      </c>
      <c r="CR95" s="24">
        <f>5500+7391</f>
        <v>12891</v>
      </c>
      <c r="CS95" s="14">
        <v>46230</v>
      </c>
      <c r="CT95" s="13" t="s">
        <v>110</v>
      </c>
      <c r="CU95" s="13"/>
      <c r="CV95" s="44" t="s">
        <v>983</v>
      </c>
    </row>
    <row r="96" spans="1:100" s="13" customFormat="1" ht="43.2">
      <c r="A96" s="12" t="s">
        <v>288</v>
      </c>
      <c r="B96" s="13" t="str">
        <f t="shared" si="35"/>
        <v>091040</v>
      </c>
      <c r="C96" s="13" t="s">
        <v>96</v>
      </c>
      <c r="D96" s="13" t="s">
        <v>97</v>
      </c>
      <c r="E96" s="13" t="s">
        <v>984</v>
      </c>
      <c r="F96" s="14">
        <v>46226</v>
      </c>
      <c r="G96" s="14">
        <f t="shared" si="40"/>
        <v>46239</v>
      </c>
      <c r="H96" s="15" t="s">
        <v>99</v>
      </c>
      <c r="I96" s="15" t="s">
        <v>100</v>
      </c>
      <c r="J96" s="15" t="s">
        <v>100</v>
      </c>
      <c r="K96" s="14">
        <v>46209</v>
      </c>
      <c r="L96" s="13" t="s">
        <v>985</v>
      </c>
      <c r="M96" s="13">
        <f t="shared" si="31"/>
        <v>1</v>
      </c>
      <c r="N96" s="43">
        <v>46186</v>
      </c>
      <c r="O96" s="30" t="s">
        <v>986</v>
      </c>
      <c r="P96" s="13" t="s">
        <v>987</v>
      </c>
      <c r="Q96" s="17" t="s">
        <v>988</v>
      </c>
      <c r="R96" s="13" t="s">
        <v>895</v>
      </c>
      <c r="S96" s="13" t="s">
        <v>228</v>
      </c>
      <c r="T96" s="24">
        <v>50</v>
      </c>
      <c r="U96" s="24">
        <v>2850</v>
      </c>
      <c r="V96" s="24">
        <f t="shared" si="32"/>
        <v>142500</v>
      </c>
      <c r="W96" s="24">
        <v>0</v>
      </c>
      <c r="X96" s="18">
        <f t="shared" si="43"/>
        <v>142500</v>
      </c>
      <c r="Y96" s="13" t="s">
        <v>110</v>
      </c>
      <c r="Z96" s="13" t="s">
        <v>110</v>
      </c>
      <c r="AA96" s="13" t="s">
        <v>989</v>
      </c>
      <c r="AB96" s="24">
        <v>24.31</v>
      </c>
      <c r="AC96" s="13" t="s">
        <v>110</v>
      </c>
      <c r="AD96" s="13" t="s">
        <v>110</v>
      </c>
      <c r="AE96" s="13" t="s">
        <v>110</v>
      </c>
      <c r="AF96" s="13" t="s">
        <v>110</v>
      </c>
      <c r="AG96" s="13" t="s">
        <v>110</v>
      </c>
      <c r="AH96" s="13" t="s">
        <v>110</v>
      </c>
      <c r="AI96" s="13" t="s">
        <v>110</v>
      </c>
      <c r="AJ96" s="13" t="s">
        <v>110</v>
      </c>
      <c r="AK96" s="13">
        <v>24310</v>
      </c>
      <c r="AL96" s="13" t="s">
        <v>110</v>
      </c>
      <c r="AM96" s="13" t="s">
        <v>246</v>
      </c>
      <c r="AN96" s="16">
        <v>33227</v>
      </c>
      <c r="AO96" s="16" t="s">
        <v>552</v>
      </c>
      <c r="AP96" s="13" t="s">
        <v>115</v>
      </c>
      <c r="AQ96" s="13" t="s">
        <v>116</v>
      </c>
      <c r="AR96" s="13" t="s">
        <v>116</v>
      </c>
      <c r="AS96" s="13">
        <v>72042190</v>
      </c>
      <c r="AT96" s="13" t="s">
        <v>117</v>
      </c>
      <c r="AU96" s="13" t="s">
        <v>990</v>
      </c>
      <c r="AV96" s="13" t="s">
        <v>119</v>
      </c>
      <c r="AW96" s="24">
        <f>800+800</f>
        <v>1600</v>
      </c>
      <c r="AX96" s="16" t="s">
        <v>991</v>
      </c>
      <c r="AY96" s="13" t="s">
        <v>992</v>
      </c>
      <c r="AZ96" s="14">
        <v>46210</v>
      </c>
      <c r="BA96" s="13">
        <v>24.31</v>
      </c>
      <c r="BB96" s="24">
        <v>2850</v>
      </c>
      <c r="BC96" s="24">
        <v>0</v>
      </c>
      <c r="BD96" s="24" t="s">
        <v>993</v>
      </c>
      <c r="BE96" s="24">
        <f t="shared" si="36"/>
        <v>69283.5</v>
      </c>
      <c r="BF96" s="18">
        <v>0</v>
      </c>
      <c r="BG96" s="13" t="s">
        <v>110</v>
      </c>
      <c r="BH96" s="20">
        <f t="shared" si="42"/>
        <v>69283.5</v>
      </c>
      <c r="BI96" s="24">
        <f t="shared" si="28"/>
        <v>6789783</v>
      </c>
      <c r="BJ96" s="18">
        <f t="shared" si="37"/>
        <v>69283.5</v>
      </c>
      <c r="BK96" s="24">
        <f t="shared" si="29"/>
        <v>8025693.2505750004</v>
      </c>
      <c r="BL96" s="24">
        <f>2248849.73+4407102.38</f>
        <v>6655952.1099999994</v>
      </c>
      <c r="BM96" s="14">
        <v>46232</v>
      </c>
      <c r="BN96" s="24">
        <v>0</v>
      </c>
      <c r="BO96" s="24">
        <v>0</v>
      </c>
      <c r="BP96" s="24">
        <f t="shared" si="39"/>
        <v>0</v>
      </c>
      <c r="BQ96" s="24">
        <f>11155.95+3306.08</f>
        <v>14462.03</v>
      </c>
      <c r="BR96" s="13" t="s">
        <v>122</v>
      </c>
      <c r="BS96" s="13" t="s">
        <v>169</v>
      </c>
      <c r="BT96" s="13" t="s">
        <v>124</v>
      </c>
      <c r="BU96" s="13" t="s">
        <v>299</v>
      </c>
      <c r="BV96" s="13" t="s">
        <v>354</v>
      </c>
      <c r="BW96" s="16" t="s">
        <v>355</v>
      </c>
      <c r="BX96" s="13">
        <v>201</v>
      </c>
      <c r="BY96" s="13" t="s">
        <v>124</v>
      </c>
      <c r="BZ96" s="24">
        <f>17347+3000+4800+21950</f>
        <v>47097</v>
      </c>
      <c r="CA96" s="18" t="s">
        <v>130</v>
      </c>
      <c r="CB96" s="22" t="s">
        <v>110</v>
      </c>
      <c r="CC96" s="33" t="s">
        <v>110</v>
      </c>
      <c r="CD96" s="18" t="s">
        <v>110</v>
      </c>
      <c r="CE96" s="24" t="s">
        <v>124</v>
      </c>
      <c r="CF96" s="13" t="s">
        <v>124</v>
      </c>
      <c r="CG96" s="13">
        <v>2468122</v>
      </c>
      <c r="CH96" s="13" t="s">
        <v>100</v>
      </c>
      <c r="CI96" s="24">
        <v>95.2</v>
      </c>
      <c r="CJ96" s="24">
        <f t="shared" si="30"/>
        <v>1235910.250575</v>
      </c>
      <c r="CK96" s="24">
        <v>69283.5</v>
      </c>
      <c r="CL96" s="24">
        <f t="shared" si="46"/>
        <v>6595789</v>
      </c>
      <c r="CM96" s="24">
        <v>0</v>
      </c>
      <c r="CN96" s="18">
        <f t="shared" si="33"/>
        <v>6595789</v>
      </c>
      <c r="CO96" s="18">
        <f t="shared" si="23"/>
        <v>1187242</v>
      </c>
      <c r="CP96" s="24">
        <v>1952</v>
      </c>
      <c r="CQ96" s="18">
        <f t="shared" si="34"/>
        <v>1189194</v>
      </c>
      <c r="CR96" s="24">
        <f>45800+177+7790+5864+800+112</f>
        <v>60543</v>
      </c>
      <c r="CS96" s="14">
        <v>46231</v>
      </c>
      <c r="CT96" s="13" t="s">
        <v>110</v>
      </c>
      <c r="CU96" s="13" t="s">
        <v>994</v>
      </c>
    </row>
    <row r="97" spans="1:100" s="13" customFormat="1" ht="43.2">
      <c r="A97" s="12" t="s">
        <v>288</v>
      </c>
      <c r="B97" s="13" t="str">
        <f t="shared" si="35"/>
        <v>091574</v>
      </c>
      <c r="C97" s="13" t="s">
        <v>571</v>
      </c>
      <c r="D97" s="13" t="s">
        <v>97</v>
      </c>
      <c r="E97" s="13" t="s">
        <v>995</v>
      </c>
      <c r="F97" s="43">
        <v>46292</v>
      </c>
      <c r="G97" s="14">
        <f t="shared" si="40"/>
        <v>46305</v>
      </c>
      <c r="H97" s="15" t="s">
        <v>99</v>
      </c>
      <c r="I97" s="15" t="s">
        <v>172</v>
      </c>
      <c r="J97" s="15" t="s">
        <v>172</v>
      </c>
      <c r="L97" s="13" t="s">
        <v>985</v>
      </c>
      <c r="M97" s="13">
        <f t="shared" si="31"/>
        <v>1</v>
      </c>
      <c r="N97" s="43">
        <v>46186</v>
      </c>
      <c r="O97" s="30" t="s">
        <v>986</v>
      </c>
      <c r="P97" s="13" t="s">
        <v>987</v>
      </c>
      <c r="Q97" s="17" t="s">
        <v>988</v>
      </c>
      <c r="R97" s="13" t="s">
        <v>895</v>
      </c>
      <c r="S97" s="13" t="s">
        <v>228</v>
      </c>
      <c r="T97" s="24">
        <v>50</v>
      </c>
      <c r="U97" s="24">
        <v>2850</v>
      </c>
      <c r="V97" s="24">
        <f t="shared" si="32"/>
        <v>142500</v>
      </c>
      <c r="W97" s="24">
        <v>0</v>
      </c>
      <c r="X97" s="18">
        <f t="shared" si="43"/>
        <v>142500</v>
      </c>
      <c r="Y97" s="13" t="s">
        <v>110</v>
      </c>
      <c r="Z97" s="13" t="s">
        <v>110</v>
      </c>
      <c r="AA97" s="13" t="s">
        <v>996</v>
      </c>
      <c r="AB97" s="24">
        <v>25.41</v>
      </c>
      <c r="AC97" s="13" t="s">
        <v>110</v>
      </c>
      <c r="AD97" s="13" t="s">
        <v>110</v>
      </c>
      <c r="AE97" s="13" t="s">
        <v>110</v>
      </c>
      <c r="AF97" s="13" t="s">
        <v>110</v>
      </c>
      <c r="AG97" s="13" t="s">
        <v>110</v>
      </c>
      <c r="AH97" s="13" t="s">
        <v>110</v>
      </c>
      <c r="AI97" s="13" t="s">
        <v>110</v>
      </c>
      <c r="AJ97" s="13" t="s">
        <v>110</v>
      </c>
      <c r="AK97" s="13">
        <v>25410</v>
      </c>
      <c r="AL97" s="13" t="s">
        <v>110</v>
      </c>
      <c r="AM97" s="13" t="s">
        <v>246</v>
      </c>
      <c r="AN97" s="16">
        <v>33341</v>
      </c>
      <c r="AO97" s="13" t="s">
        <v>997</v>
      </c>
      <c r="AP97" s="13" t="s">
        <v>115</v>
      </c>
      <c r="AQ97" s="13" t="s">
        <v>116</v>
      </c>
      <c r="AR97" s="13" t="s">
        <v>116</v>
      </c>
      <c r="AS97" s="13">
        <v>72042190</v>
      </c>
      <c r="AT97" s="13" t="s">
        <v>117</v>
      </c>
      <c r="AV97" s="16" t="s">
        <v>119</v>
      </c>
      <c r="AW97" s="24">
        <v>800</v>
      </c>
      <c r="AX97" s="13" t="s">
        <v>998</v>
      </c>
      <c r="AY97" s="13" t="s">
        <v>999</v>
      </c>
      <c r="AZ97" s="14">
        <v>46230</v>
      </c>
      <c r="BA97" s="45">
        <v>25.41</v>
      </c>
      <c r="BB97" s="24">
        <v>2850</v>
      </c>
      <c r="BC97" s="24">
        <v>0</v>
      </c>
      <c r="BD97" s="24">
        <v>0</v>
      </c>
      <c r="BE97" s="24">
        <f t="shared" si="36"/>
        <v>72418.5</v>
      </c>
      <c r="BF97" s="18">
        <v>0</v>
      </c>
      <c r="BG97" s="13" t="s">
        <v>110</v>
      </c>
      <c r="BH97" s="20">
        <f t="shared" si="42"/>
        <v>72418.5</v>
      </c>
      <c r="BI97" s="24">
        <f t="shared" si="28"/>
        <v>7097013</v>
      </c>
      <c r="BJ97" s="18">
        <f t="shared" si="37"/>
        <v>72418.5</v>
      </c>
      <c r="BK97" s="24">
        <f t="shared" si="29"/>
        <v>8388846.7913249992</v>
      </c>
      <c r="BL97" s="24">
        <f t="shared" ref="BL97:BL121" si="47">BJ97*BD97</f>
        <v>0</v>
      </c>
      <c r="BN97" s="24">
        <v>0</v>
      </c>
      <c r="BO97" s="24">
        <v>0</v>
      </c>
      <c r="BP97" s="24">
        <f t="shared" si="39"/>
        <v>0</v>
      </c>
      <c r="BQ97" s="24"/>
      <c r="BR97" s="13" t="s">
        <v>581</v>
      </c>
      <c r="BS97" s="13" t="s">
        <v>169</v>
      </c>
      <c r="BT97" s="13" t="s">
        <v>124</v>
      </c>
      <c r="BU97" s="13" t="s">
        <v>299</v>
      </c>
      <c r="BV97" s="13" t="s">
        <v>354</v>
      </c>
      <c r="BW97" s="16" t="s">
        <v>355</v>
      </c>
      <c r="BY97" s="13" t="s">
        <v>124</v>
      </c>
      <c r="BZ97" s="24"/>
      <c r="CA97" s="24"/>
      <c r="CB97" s="22" t="s">
        <v>110</v>
      </c>
      <c r="CC97" s="33" t="s">
        <v>110</v>
      </c>
      <c r="CD97" s="18" t="s">
        <v>110</v>
      </c>
      <c r="CE97" s="24" t="s">
        <v>124</v>
      </c>
      <c r="CF97" s="13" t="s">
        <v>124</v>
      </c>
      <c r="CH97" s="13" t="s">
        <v>172</v>
      </c>
      <c r="CI97" s="24"/>
      <c r="CJ97" s="24">
        <f t="shared" si="30"/>
        <v>1291833.7913249999</v>
      </c>
      <c r="CK97" s="24"/>
      <c r="CL97" s="24">
        <f>ROUND(((CK97*CI97)),0)</f>
        <v>0</v>
      </c>
      <c r="CM97" s="24">
        <v>0</v>
      </c>
      <c r="CN97" s="18">
        <f t="shared" si="33"/>
        <v>0</v>
      </c>
      <c r="CO97" s="18">
        <f t="shared" si="23"/>
        <v>0</v>
      </c>
      <c r="CP97" s="24">
        <v>0</v>
      </c>
      <c r="CQ97" s="18">
        <f t="shared" si="34"/>
        <v>0</v>
      </c>
      <c r="CR97" s="24"/>
      <c r="CT97" s="13" t="s">
        <v>110</v>
      </c>
    </row>
    <row r="98" spans="1:100" s="13" customFormat="1" ht="57.6">
      <c r="A98" s="12" t="s">
        <v>288</v>
      </c>
      <c r="B98" s="13" t="str">
        <f t="shared" si="35"/>
        <v>091646</v>
      </c>
      <c r="C98" s="13" t="s">
        <v>96</v>
      </c>
      <c r="D98" s="13" t="s">
        <v>97</v>
      </c>
      <c r="E98" s="13" t="s">
        <v>1000</v>
      </c>
      <c r="F98" s="14">
        <v>46238</v>
      </c>
      <c r="G98" s="14">
        <f t="shared" si="40"/>
        <v>46251</v>
      </c>
      <c r="H98" s="15" t="s">
        <v>99</v>
      </c>
      <c r="I98" s="15" t="s">
        <v>100</v>
      </c>
      <c r="J98" s="15" t="s">
        <v>100</v>
      </c>
      <c r="K98" s="14">
        <v>46221</v>
      </c>
      <c r="L98" s="13" t="s">
        <v>1001</v>
      </c>
      <c r="M98" s="13">
        <f t="shared" si="31"/>
        <v>1</v>
      </c>
      <c r="N98" s="43">
        <v>46195</v>
      </c>
      <c r="O98" s="16" t="s">
        <v>986</v>
      </c>
      <c r="P98" s="13" t="s">
        <v>987</v>
      </c>
      <c r="Q98" s="17" t="s">
        <v>1002</v>
      </c>
      <c r="R98" s="16" t="s">
        <v>1003</v>
      </c>
      <c r="S98" s="16" t="s">
        <v>1004</v>
      </c>
      <c r="T98" s="24">
        <f>8+17</f>
        <v>25</v>
      </c>
      <c r="U98" s="24">
        <f>((8*2220)+(17*1035))/(8+17)</f>
        <v>1414.2</v>
      </c>
      <c r="V98" s="24">
        <f t="shared" si="32"/>
        <v>35355</v>
      </c>
      <c r="W98" s="24">
        <v>0</v>
      </c>
      <c r="X98" s="18">
        <f t="shared" si="43"/>
        <v>35355</v>
      </c>
      <c r="Y98" s="13" t="s">
        <v>110</v>
      </c>
      <c r="Z98" s="13" t="s">
        <v>110</v>
      </c>
      <c r="AA98" s="13" t="s">
        <v>1005</v>
      </c>
      <c r="AB98" s="24">
        <f>6.1+19.86</f>
        <v>25.96</v>
      </c>
      <c r="AC98" s="13" t="s">
        <v>110</v>
      </c>
      <c r="AD98" s="13" t="s">
        <v>110</v>
      </c>
      <c r="AE98" s="13" t="s">
        <v>110</v>
      </c>
      <c r="AF98" s="13" t="s">
        <v>110</v>
      </c>
      <c r="AG98" s="13" t="s">
        <v>110</v>
      </c>
      <c r="AH98" s="13" t="s">
        <v>110</v>
      </c>
      <c r="AI98" s="13" t="s">
        <v>110</v>
      </c>
      <c r="AJ98" s="13" t="s">
        <v>110</v>
      </c>
      <c r="AK98" s="13">
        <v>25960</v>
      </c>
      <c r="AL98" s="13" t="s">
        <v>110</v>
      </c>
      <c r="AM98" s="13" t="s">
        <v>112</v>
      </c>
      <c r="AN98" s="16">
        <v>26284</v>
      </c>
      <c r="AO98" s="16" t="s">
        <v>1006</v>
      </c>
      <c r="AP98" s="13" t="s">
        <v>115</v>
      </c>
      <c r="AQ98" s="13" t="s">
        <v>116</v>
      </c>
      <c r="AR98" s="13" t="s">
        <v>116</v>
      </c>
      <c r="AS98" s="13">
        <v>72042190</v>
      </c>
      <c r="AT98" s="13" t="s">
        <v>117</v>
      </c>
      <c r="AU98" s="13" t="s">
        <v>1007</v>
      </c>
      <c r="AV98" s="13" t="s">
        <v>119</v>
      </c>
      <c r="AW98" s="24">
        <v>800</v>
      </c>
      <c r="AX98" s="13" t="s">
        <v>1008</v>
      </c>
      <c r="AY98" s="13" t="s">
        <v>1009</v>
      </c>
      <c r="AZ98" s="14">
        <v>46218</v>
      </c>
      <c r="BA98" s="45">
        <f>6.1+19.86</f>
        <v>25.96</v>
      </c>
      <c r="BB98" s="24">
        <f>((6.1*2220)+(19.86*1035))/(6.1+19.86)</f>
        <v>1313.4476117103234</v>
      </c>
      <c r="BC98" s="24">
        <v>0</v>
      </c>
      <c r="BD98" s="24">
        <v>97.2</v>
      </c>
      <c r="BE98" s="24">
        <f t="shared" si="36"/>
        <v>34097.1</v>
      </c>
      <c r="BF98" s="18">
        <v>0</v>
      </c>
      <c r="BG98" s="13" t="s">
        <v>110</v>
      </c>
      <c r="BH98" s="20">
        <f t="shared" si="42"/>
        <v>34097.1</v>
      </c>
      <c r="BI98" s="24">
        <f t="shared" si="28"/>
        <v>3341515.8</v>
      </c>
      <c r="BJ98" s="18">
        <f t="shared" si="37"/>
        <v>34097.1</v>
      </c>
      <c r="BK98" s="24">
        <f t="shared" si="29"/>
        <v>3996412.2503004</v>
      </c>
      <c r="BL98" s="24">
        <f t="shared" si="47"/>
        <v>3314238.12</v>
      </c>
      <c r="BN98" s="24">
        <v>0</v>
      </c>
      <c r="BO98" s="24">
        <v>0</v>
      </c>
      <c r="BP98" s="24">
        <f t="shared" si="39"/>
        <v>0</v>
      </c>
      <c r="BQ98" s="24"/>
      <c r="BR98" s="13" t="s">
        <v>122</v>
      </c>
      <c r="BS98" s="13" t="s">
        <v>169</v>
      </c>
      <c r="BT98" s="13" t="s">
        <v>124</v>
      </c>
      <c r="BU98" s="13" t="s">
        <v>299</v>
      </c>
      <c r="BV98" s="13" t="s">
        <v>258</v>
      </c>
      <c r="BW98" s="16" t="s">
        <v>127</v>
      </c>
      <c r="BX98" s="13" t="s">
        <v>1010</v>
      </c>
      <c r="BY98" s="13" t="s">
        <v>124</v>
      </c>
      <c r="BZ98" s="24">
        <v>37641</v>
      </c>
      <c r="CA98" s="18" t="s">
        <v>130</v>
      </c>
      <c r="CB98" s="22" t="s">
        <v>110</v>
      </c>
      <c r="CC98" s="33" t="s">
        <v>110</v>
      </c>
      <c r="CD98" s="18" t="s">
        <v>110</v>
      </c>
      <c r="CE98" s="24" t="s">
        <v>124</v>
      </c>
      <c r="CF98" s="13" t="s">
        <v>124</v>
      </c>
      <c r="CG98" s="13">
        <v>2899574</v>
      </c>
      <c r="CH98" s="13" t="s">
        <v>100</v>
      </c>
      <c r="CI98" s="24">
        <v>97.2</v>
      </c>
      <c r="CJ98" s="24">
        <f t="shared" si="30"/>
        <v>654896.45030040003</v>
      </c>
      <c r="CK98" s="24">
        <v>34094.1</v>
      </c>
      <c r="CL98" s="24">
        <f t="shared" ref="CL98:CL99" si="48">ROUND(CK98*CI98,0)</f>
        <v>3313947</v>
      </c>
      <c r="CM98" s="24">
        <v>0</v>
      </c>
      <c r="CN98" s="18">
        <f t="shared" si="33"/>
        <v>3313947</v>
      </c>
      <c r="CO98" s="18">
        <f t="shared" si="23"/>
        <v>596510</v>
      </c>
      <c r="CP98" s="24">
        <v>1487</v>
      </c>
      <c r="CQ98" s="18">
        <f t="shared" si="34"/>
        <v>597997</v>
      </c>
      <c r="CR98" s="24">
        <f>13000+3200+700+300+8500+11500+750+800+3960</f>
        <v>42710</v>
      </c>
      <c r="CS98" s="14">
        <v>46245</v>
      </c>
      <c r="CT98" s="13" t="s">
        <v>110</v>
      </c>
      <c r="CV98" s="16" t="s">
        <v>1011</v>
      </c>
    </row>
    <row r="99" spans="1:100" s="13" customFormat="1" ht="72">
      <c r="A99" s="12" t="s">
        <v>288</v>
      </c>
      <c r="B99" s="13" t="str">
        <f t="shared" si="35"/>
        <v>105303</v>
      </c>
      <c r="C99" s="13" t="s">
        <v>96</v>
      </c>
      <c r="D99" s="13" t="s">
        <v>97</v>
      </c>
      <c r="E99" s="13" t="s">
        <v>1012</v>
      </c>
      <c r="F99" s="14">
        <v>46189</v>
      </c>
      <c r="G99" s="14">
        <f t="shared" si="40"/>
        <v>46202</v>
      </c>
      <c r="H99" s="15" t="s">
        <v>99</v>
      </c>
      <c r="I99" s="15" t="s">
        <v>100</v>
      </c>
      <c r="J99" s="15" t="s">
        <v>100</v>
      </c>
      <c r="K99" s="14">
        <v>46183</v>
      </c>
      <c r="L99" s="13" t="s">
        <v>1013</v>
      </c>
      <c r="M99" s="13">
        <f t="shared" si="31"/>
        <v>1</v>
      </c>
      <c r="N99" s="43">
        <v>46160</v>
      </c>
      <c r="O99" s="30" t="s">
        <v>1014</v>
      </c>
      <c r="P99" s="13" t="s">
        <v>393</v>
      </c>
      <c r="Q99" s="17" t="s">
        <v>1015</v>
      </c>
      <c r="R99" s="16" t="s">
        <v>1016</v>
      </c>
      <c r="S99" s="16" t="s">
        <v>1017</v>
      </c>
      <c r="T99" s="24">
        <v>26.22</v>
      </c>
      <c r="U99" s="24">
        <v>6319.77</v>
      </c>
      <c r="V99" s="24">
        <f t="shared" si="32"/>
        <v>165704.3694</v>
      </c>
      <c r="W99" s="24">
        <v>0</v>
      </c>
      <c r="X99" s="18">
        <f t="shared" si="43"/>
        <v>165704.3694</v>
      </c>
      <c r="Y99" s="13" t="s">
        <v>110</v>
      </c>
      <c r="Z99" s="13" t="s">
        <v>110</v>
      </c>
      <c r="AA99" s="13" t="s">
        <v>1018</v>
      </c>
      <c r="AB99" s="20">
        <f>T99</f>
        <v>26.22</v>
      </c>
      <c r="AC99" s="13" t="s">
        <v>110</v>
      </c>
      <c r="AD99" s="13" t="s">
        <v>110</v>
      </c>
      <c r="AE99" s="13" t="s">
        <v>110</v>
      </c>
      <c r="AF99" s="13" t="s">
        <v>110</v>
      </c>
      <c r="AG99" s="13" t="s">
        <v>110</v>
      </c>
      <c r="AH99" s="13" t="s">
        <v>110</v>
      </c>
      <c r="AI99" s="13" t="s">
        <v>110</v>
      </c>
      <c r="AJ99" s="13" t="s">
        <v>110</v>
      </c>
      <c r="AK99" s="13">
        <v>26222</v>
      </c>
      <c r="AL99" s="13" t="s">
        <v>110</v>
      </c>
      <c r="AM99" s="13" t="s">
        <v>112</v>
      </c>
      <c r="AN99" s="16" t="s">
        <v>1019</v>
      </c>
      <c r="AO99" s="16" t="s">
        <v>1020</v>
      </c>
      <c r="AP99" s="16" t="s">
        <v>425</v>
      </c>
      <c r="AQ99" s="13" t="s">
        <v>116</v>
      </c>
      <c r="AR99" s="13" t="s">
        <v>116</v>
      </c>
      <c r="AS99" s="16" t="s">
        <v>166</v>
      </c>
      <c r="AU99" s="13" t="s">
        <v>1021</v>
      </c>
      <c r="AV99" s="13" t="s">
        <v>119</v>
      </c>
      <c r="AW99" s="24">
        <v>800</v>
      </c>
      <c r="AX99" s="13" t="s">
        <v>1022</v>
      </c>
      <c r="AY99" s="16" t="s">
        <v>1023</v>
      </c>
      <c r="AZ99" s="14">
        <v>46161</v>
      </c>
      <c r="BA99" s="20">
        <f>24.649+1.573</f>
        <v>26.222000000000001</v>
      </c>
      <c r="BB99" s="24">
        <f>((24.649*6515.03)+(1.573*3250))/(24.649+1.573)</f>
        <v>6319.1680447715653</v>
      </c>
      <c r="BC99" s="24">
        <v>0</v>
      </c>
      <c r="BD99" s="24">
        <v>94.66</v>
      </c>
      <c r="BE99" s="24">
        <f t="shared" si="36"/>
        <v>165701.22446999999</v>
      </c>
      <c r="BF99" s="18">
        <v>0</v>
      </c>
      <c r="BG99" s="13" t="s">
        <v>110</v>
      </c>
      <c r="BH99" s="20">
        <f t="shared" si="42"/>
        <v>165701.22446999999</v>
      </c>
      <c r="BI99" s="24">
        <f t="shared" si="28"/>
        <v>16238719.998059999</v>
      </c>
      <c r="BJ99" s="18">
        <f t="shared" si="37"/>
        <v>165701.22446999999</v>
      </c>
      <c r="BK99" s="24">
        <f t="shared" si="29"/>
        <v>19194854.576185741</v>
      </c>
      <c r="BL99" s="24">
        <f t="shared" si="47"/>
        <v>15685277.908330198</v>
      </c>
      <c r="BM99" s="14">
        <v>46189</v>
      </c>
      <c r="BN99" s="24">
        <v>0</v>
      </c>
      <c r="BO99" s="24">
        <v>0</v>
      </c>
      <c r="BP99" s="24">
        <f t="shared" si="39"/>
        <v>0</v>
      </c>
      <c r="BQ99" s="24">
        <f>20185.3+4931.36</f>
        <v>25116.66</v>
      </c>
      <c r="BR99" s="13" t="s">
        <v>122</v>
      </c>
      <c r="BS99" s="13" t="s">
        <v>123</v>
      </c>
      <c r="BT99" s="13" t="s">
        <v>124</v>
      </c>
      <c r="BU99" s="16" t="s">
        <v>874</v>
      </c>
      <c r="BV99" s="16" t="s">
        <v>354</v>
      </c>
      <c r="BW99" s="16" t="s">
        <v>355</v>
      </c>
      <c r="BX99" s="13">
        <v>141</v>
      </c>
      <c r="BY99" s="13" t="s">
        <v>124</v>
      </c>
      <c r="BZ99" s="24">
        <f>21020+5500</f>
        <v>26520</v>
      </c>
      <c r="CA99" s="18" t="s">
        <v>130</v>
      </c>
      <c r="CB99" s="22" t="s">
        <v>110</v>
      </c>
      <c r="CC99" s="33" t="s">
        <v>110</v>
      </c>
      <c r="CD99" s="18" t="s">
        <v>110</v>
      </c>
      <c r="CE99" s="24">
        <v>0</v>
      </c>
      <c r="CF99" s="13" t="s">
        <v>124</v>
      </c>
      <c r="CG99" s="13">
        <v>9872019</v>
      </c>
      <c r="CH99" s="13" t="s">
        <v>100</v>
      </c>
      <c r="CI99" s="24">
        <v>96.6</v>
      </c>
      <c r="CJ99" s="24">
        <f t="shared" si="30"/>
        <v>2956134.5781257432</v>
      </c>
      <c r="CK99" s="24">
        <v>165701.45000000001</v>
      </c>
      <c r="CL99" s="24">
        <f t="shared" si="48"/>
        <v>16006760</v>
      </c>
      <c r="CM99" s="24">
        <v>0</v>
      </c>
      <c r="CN99" s="18">
        <f t="shared" si="33"/>
        <v>16006760</v>
      </c>
      <c r="CO99" s="18">
        <f t="shared" si="23"/>
        <v>2881217</v>
      </c>
      <c r="CP99" s="24">
        <v>2368</v>
      </c>
      <c r="CQ99" s="18">
        <f t="shared" si="34"/>
        <v>2883585</v>
      </c>
      <c r="CR99" s="24">
        <f>14500+18000+8000+177+18890+400+46.5+10000+800+1000+300</f>
        <v>72113.5</v>
      </c>
      <c r="CS99" s="14">
        <v>46193</v>
      </c>
      <c r="CT99" s="13" t="s">
        <v>110</v>
      </c>
      <c r="CU99" s="13" t="s">
        <v>1024</v>
      </c>
    </row>
    <row r="100" spans="1:100" s="13" customFormat="1" ht="28.8">
      <c r="A100" s="55" t="s">
        <v>288</v>
      </c>
      <c r="B100" s="13" t="str">
        <f t="shared" si="35"/>
        <v>422810</v>
      </c>
      <c r="C100" s="13" t="s">
        <v>571</v>
      </c>
      <c r="D100" s="29" t="s">
        <v>1025</v>
      </c>
      <c r="E100" s="13" t="s">
        <v>1026</v>
      </c>
      <c r="F100" s="14">
        <v>46188</v>
      </c>
      <c r="G100" s="14">
        <f t="shared" si="40"/>
        <v>46201</v>
      </c>
      <c r="H100" s="15" t="s">
        <v>99</v>
      </c>
      <c r="I100" s="15" t="s">
        <v>100</v>
      </c>
      <c r="J100" s="15" t="s">
        <v>100</v>
      </c>
      <c r="K100" s="14">
        <v>46140</v>
      </c>
      <c r="M100" s="13">
        <f t="shared" si="31"/>
        <v>0</v>
      </c>
      <c r="N100" s="13" t="s">
        <v>110</v>
      </c>
      <c r="O100" s="16" t="s">
        <v>969</v>
      </c>
      <c r="P100" s="16" t="s">
        <v>970</v>
      </c>
      <c r="Q100" s="17" t="s">
        <v>971</v>
      </c>
      <c r="R100" s="13" t="s">
        <v>972</v>
      </c>
      <c r="S100" s="16" t="s">
        <v>973</v>
      </c>
      <c r="T100" s="24">
        <v>19.5</v>
      </c>
      <c r="U100" s="24">
        <v>1650</v>
      </c>
      <c r="V100" s="24">
        <f t="shared" si="32"/>
        <v>32175</v>
      </c>
      <c r="W100" s="24">
        <v>0</v>
      </c>
      <c r="X100" s="18">
        <f t="shared" si="43"/>
        <v>32175</v>
      </c>
      <c r="Y100" s="13" t="s">
        <v>110</v>
      </c>
      <c r="Z100" s="13" t="s">
        <v>110</v>
      </c>
      <c r="AA100" s="13" t="s">
        <v>1027</v>
      </c>
      <c r="AB100" s="20">
        <v>19.5</v>
      </c>
      <c r="AC100" s="13" t="s">
        <v>110</v>
      </c>
      <c r="AD100" s="13" t="s">
        <v>110</v>
      </c>
      <c r="AE100" s="13" t="s">
        <v>110</v>
      </c>
      <c r="AF100" s="13" t="s">
        <v>110</v>
      </c>
      <c r="AG100" s="13" t="s">
        <v>110</v>
      </c>
      <c r="AH100" s="13" t="s">
        <v>110</v>
      </c>
      <c r="AI100" s="13" t="s">
        <v>110</v>
      </c>
      <c r="AJ100" s="13" t="s">
        <v>110</v>
      </c>
      <c r="AL100" s="13" t="s">
        <v>110</v>
      </c>
      <c r="AM100" s="13" t="s">
        <v>246</v>
      </c>
      <c r="AN100" s="47" t="s">
        <v>1028</v>
      </c>
      <c r="AO100" s="13" t="s">
        <v>1029</v>
      </c>
      <c r="AP100" s="16" t="s">
        <v>977</v>
      </c>
      <c r="AQ100" s="13" t="s">
        <v>165</v>
      </c>
      <c r="AR100" s="16" t="s">
        <v>1030</v>
      </c>
      <c r="AS100" s="13">
        <v>72042920</v>
      </c>
      <c r="AU100" s="13" t="s">
        <v>1031</v>
      </c>
      <c r="AV100" s="16" t="s">
        <v>119</v>
      </c>
      <c r="AW100" s="24">
        <v>800</v>
      </c>
      <c r="AX100" s="13" t="s">
        <v>1032</v>
      </c>
      <c r="AY100" s="16" t="s">
        <v>1033</v>
      </c>
      <c r="AZ100" s="14">
        <v>46175</v>
      </c>
      <c r="BA100" s="45">
        <v>19.5</v>
      </c>
      <c r="BB100" s="24">
        <v>1650</v>
      </c>
      <c r="BC100" s="24">
        <v>0</v>
      </c>
      <c r="BD100" s="24"/>
      <c r="BE100" s="24">
        <f t="shared" si="36"/>
        <v>32175</v>
      </c>
      <c r="BF100" s="18">
        <v>0</v>
      </c>
      <c r="BG100" s="13" t="s">
        <v>110</v>
      </c>
      <c r="BH100" s="20">
        <f t="shared" si="42"/>
        <v>32175</v>
      </c>
      <c r="BI100" s="24">
        <f t="shared" si="28"/>
        <v>3153150</v>
      </c>
      <c r="BJ100" s="18">
        <f t="shared" si="37"/>
        <v>32175</v>
      </c>
      <c r="BK100" s="24">
        <f t="shared" si="29"/>
        <v>3153150</v>
      </c>
      <c r="BL100" s="24">
        <f t="shared" si="47"/>
        <v>0</v>
      </c>
      <c r="BM100" s="14"/>
      <c r="BN100" s="24">
        <v>0</v>
      </c>
      <c r="BO100" s="24">
        <v>0</v>
      </c>
      <c r="BP100" s="24">
        <f t="shared" si="39"/>
        <v>0</v>
      </c>
      <c r="BQ100" s="24"/>
      <c r="BR100" s="13" t="s">
        <v>122</v>
      </c>
      <c r="BS100" s="13" t="s">
        <v>169</v>
      </c>
      <c r="BT100" s="13" t="s">
        <v>124</v>
      </c>
      <c r="BU100" s="16" t="s">
        <v>1034</v>
      </c>
      <c r="BV100" s="16"/>
      <c r="BW100" s="16" t="s">
        <v>982</v>
      </c>
      <c r="BX100" s="13" t="s">
        <v>124</v>
      </c>
      <c r="BY100" s="13" t="s">
        <v>129</v>
      </c>
      <c r="BZ100" s="24"/>
      <c r="CA100" s="24"/>
      <c r="CB100" s="22" t="s">
        <v>110</v>
      </c>
      <c r="CC100" s="33" t="s">
        <v>110</v>
      </c>
      <c r="CD100" s="18" t="s">
        <v>110</v>
      </c>
      <c r="CE100" s="24" t="s">
        <v>124</v>
      </c>
      <c r="CF100" s="13" t="s">
        <v>124</v>
      </c>
      <c r="CG100" s="13">
        <v>9750359</v>
      </c>
      <c r="CH100" s="13" t="s">
        <v>172</v>
      </c>
      <c r="CI100" s="24">
        <v>96.6</v>
      </c>
      <c r="CJ100" s="24">
        <f t="shared" si="30"/>
        <v>0</v>
      </c>
      <c r="CK100" s="24">
        <v>32175</v>
      </c>
      <c r="CL100" s="24">
        <f t="shared" ref="CL100:CL102" si="49">ROUND(((CK100*CI100)),0)</f>
        <v>3108105</v>
      </c>
      <c r="CM100" s="24">
        <v>0</v>
      </c>
      <c r="CN100" s="18">
        <f t="shared" si="33"/>
        <v>3108105</v>
      </c>
      <c r="CO100" s="18">
        <f t="shared" si="23"/>
        <v>559459</v>
      </c>
      <c r="CP100" s="24">
        <v>0</v>
      </c>
      <c r="CQ100" s="18">
        <f t="shared" si="34"/>
        <v>559459</v>
      </c>
      <c r="CR100" s="24">
        <f>5500+7687</f>
        <v>13187</v>
      </c>
      <c r="CS100" s="14">
        <v>46203</v>
      </c>
      <c r="CT100" s="13" t="s">
        <v>110</v>
      </c>
    </row>
    <row r="101" spans="1:100" s="13" customFormat="1" ht="86.4">
      <c r="A101" s="12" t="s">
        <v>288</v>
      </c>
      <c r="B101" s="13" t="str">
        <f t="shared" si="35"/>
        <v>E43845</v>
      </c>
      <c r="C101" s="13" t="s">
        <v>571</v>
      </c>
      <c r="D101" s="13" t="s">
        <v>97</v>
      </c>
      <c r="E101" s="13" t="s">
        <v>1035</v>
      </c>
      <c r="F101" s="14">
        <v>46289</v>
      </c>
      <c r="G101" s="14">
        <f t="shared" si="40"/>
        <v>46302</v>
      </c>
      <c r="H101" s="15" t="s">
        <v>99</v>
      </c>
      <c r="I101" s="15" t="s">
        <v>172</v>
      </c>
      <c r="J101" s="15" t="s">
        <v>172</v>
      </c>
      <c r="K101" s="14">
        <v>46234</v>
      </c>
      <c r="L101" s="13" t="s">
        <v>1036</v>
      </c>
      <c r="M101" s="13">
        <f t="shared" si="31"/>
        <v>0</v>
      </c>
      <c r="N101" s="14">
        <v>46224</v>
      </c>
      <c r="O101" s="16" t="s">
        <v>969</v>
      </c>
      <c r="P101" s="16" t="s">
        <v>970</v>
      </c>
      <c r="Q101" s="17" t="s">
        <v>1037</v>
      </c>
      <c r="R101" s="56" t="s">
        <v>1038</v>
      </c>
      <c r="S101" s="16" t="s">
        <v>1039</v>
      </c>
      <c r="T101" s="24">
        <v>19.811</v>
      </c>
      <c r="U101" s="24">
        <f>((0.594*2000)+(2.46*2400)+(16.757*1950))/(0.594+2.46+16.757)</f>
        <v>2007.3772146787139</v>
      </c>
      <c r="V101" s="24">
        <f t="shared" si="32"/>
        <v>39768.15</v>
      </c>
      <c r="W101" s="24">
        <v>20000</v>
      </c>
      <c r="X101" s="18">
        <f t="shared" si="43"/>
        <v>19768.150000000001</v>
      </c>
      <c r="Y101" s="13" t="s">
        <v>110</v>
      </c>
      <c r="Z101" s="13" t="s">
        <v>110</v>
      </c>
      <c r="AA101" s="13" t="s">
        <v>1040</v>
      </c>
      <c r="AB101" s="20">
        <v>19.811</v>
      </c>
      <c r="AC101" s="13" t="s">
        <v>110</v>
      </c>
      <c r="AD101" s="13" t="s">
        <v>110</v>
      </c>
      <c r="AE101" s="13" t="s">
        <v>110</v>
      </c>
      <c r="AF101" s="13" t="s">
        <v>110</v>
      </c>
      <c r="AG101" s="13" t="s">
        <v>110</v>
      </c>
      <c r="AH101" s="13" t="s">
        <v>110</v>
      </c>
      <c r="AI101" s="13" t="s">
        <v>110</v>
      </c>
      <c r="AJ101" s="13" t="s">
        <v>110</v>
      </c>
      <c r="AL101" s="13" t="s">
        <v>110</v>
      </c>
      <c r="AM101" s="13" t="s">
        <v>246</v>
      </c>
      <c r="AN101" s="47" t="s">
        <v>1041</v>
      </c>
      <c r="AO101" s="13" t="s">
        <v>1042</v>
      </c>
      <c r="AP101" s="16" t="s">
        <v>1043</v>
      </c>
      <c r="AQ101" s="13" t="s">
        <v>165</v>
      </c>
      <c r="AR101" s="16" t="s">
        <v>978</v>
      </c>
      <c r="AS101" s="13">
        <v>72042920</v>
      </c>
      <c r="AT101" s="45" t="s">
        <v>1044</v>
      </c>
      <c r="AU101" s="13" t="s">
        <v>1045</v>
      </c>
      <c r="AV101" s="16" t="s">
        <v>119</v>
      </c>
      <c r="AW101" s="24">
        <v>800</v>
      </c>
      <c r="AX101" s="13" t="s">
        <v>1046</v>
      </c>
      <c r="AY101" s="16" t="s">
        <v>1047</v>
      </c>
      <c r="AZ101" s="14">
        <v>46227</v>
      </c>
      <c r="BA101" s="45">
        <v>19.811</v>
      </c>
      <c r="BB101" s="24">
        <f>((2000*0.594)+(2400*2.46)+(16.757*1950))/(0.594+2.46+16.757)</f>
        <v>2007.3772146787139</v>
      </c>
      <c r="BC101" s="24">
        <v>0</v>
      </c>
      <c r="BD101" s="24"/>
      <c r="BE101" s="24">
        <f t="shared" si="36"/>
        <v>39768.15</v>
      </c>
      <c r="BF101" s="18">
        <v>20000</v>
      </c>
      <c r="BG101" s="13" t="s">
        <v>110</v>
      </c>
      <c r="BH101" s="20">
        <f>(BE101-BF101)</f>
        <v>19768.150000000001</v>
      </c>
      <c r="BI101" s="24">
        <f t="shared" si="28"/>
        <v>1937278.7000000002</v>
      </c>
      <c r="BJ101" s="18">
        <f t="shared" si="37"/>
        <v>19768.150000000001</v>
      </c>
      <c r="BK101" s="24">
        <f t="shared" si="29"/>
        <v>1937278.7000000002</v>
      </c>
      <c r="BL101" s="24">
        <f t="shared" si="47"/>
        <v>0</v>
      </c>
      <c r="BM101" s="14"/>
      <c r="BN101" s="24">
        <v>20000</v>
      </c>
      <c r="BO101" s="24">
        <v>0</v>
      </c>
      <c r="BP101" s="24">
        <f t="shared" si="39"/>
        <v>0</v>
      </c>
      <c r="BQ101" s="24"/>
      <c r="BR101" s="13" t="s">
        <v>581</v>
      </c>
      <c r="BS101" s="13" t="s">
        <v>169</v>
      </c>
      <c r="BT101" s="13" t="s">
        <v>124</v>
      </c>
      <c r="BU101" s="16" t="s">
        <v>1048</v>
      </c>
      <c r="BV101" s="16"/>
      <c r="BW101" s="16" t="s">
        <v>982</v>
      </c>
      <c r="BX101" s="13" t="s">
        <v>124</v>
      </c>
      <c r="BY101" s="13" t="s">
        <v>124</v>
      </c>
      <c r="BZ101" s="24"/>
      <c r="CA101" s="24"/>
      <c r="CB101" s="22" t="s">
        <v>110</v>
      </c>
      <c r="CC101" s="33" t="s">
        <v>110</v>
      </c>
      <c r="CD101" s="18" t="s">
        <v>110</v>
      </c>
      <c r="CE101" s="24" t="s">
        <v>124</v>
      </c>
      <c r="CF101" s="13" t="s">
        <v>124</v>
      </c>
      <c r="CH101" s="13" t="s">
        <v>172</v>
      </c>
      <c r="CI101" s="24"/>
      <c r="CJ101" s="24">
        <f t="shared" si="30"/>
        <v>0</v>
      </c>
      <c r="CK101" s="24"/>
      <c r="CL101" s="24">
        <f t="shared" si="49"/>
        <v>0</v>
      </c>
      <c r="CM101" s="24">
        <v>0</v>
      </c>
      <c r="CN101" s="18">
        <f t="shared" si="33"/>
        <v>0</v>
      </c>
      <c r="CO101" s="18">
        <f t="shared" si="23"/>
        <v>0</v>
      </c>
      <c r="CP101" s="24">
        <v>0</v>
      </c>
      <c r="CQ101" s="18">
        <f t="shared" si="34"/>
        <v>0</v>
      </c>
      <c r="CR101" s="24"/>
      <c r="CS101" s="14"/>
    </row>
    <row r="102" spans="1:100" s="13" customFormat="1" ht="57.6">
      <c r="A102" s="55" t="s">
        <v>288</v>
      </c>
      <c r="B102" s="13" t="str">
        <f t="shared" si="35"/>
        <v>3BVDB6</v>
      </c>
      <c r="C102" s="13" t="s">
        <v>571</v>
      </c>
      <c r="D102" s="29" t="s">
        <v>1025</v>
      </c>
      <c r="E102" s="13" t="s">
        <v>1049</v>
      </c>
      <c r="F102" s="14">
        <v>46244</v>
      </c>
      <c r="G102" s="14">
        <f t="shared" si="40"/>
        <v>46257</v>
      </c>
      <c r="H102" s="15" t="s">
        <v>99</v>
      </c>
      <c r="I102" s="15"/>
      <c r="J102" s="15"/>
      <c r="K102" s="14">
        <v>46131</v>
      </c>
      <c r="M102" s="13">
        <f t="shared" si="31"/>
        <v>0</v>
      </c>
      <c r="N102" s="13" t="s">
        <v>110</v>
      </c>
      <c r="O102" s="16"/>
      <c r="P102" s="16" t="s">
        <v>970</v>
      </c>
      <c r="Q102" s="17" t="s">
        <v>1050</v>
      </c>
      <c r="R102" s="16" t="s">
        <v>1051</v>
      </c>
      <c r="S102" s="16" t="s">
        <v>973</v>
      </c>
      <c r="T102" s="24">
        <v>18.771799999999999</v>
      </c>
      <c r="U102" s="24">
        <f>((7.7701*1650)+(11.6583*1835))/(7.7701+11.6583)</f>
        <v>1761.0119978999815</v>
      </c>
      <c r="V102" s="24">
        <f t="shared" si="32"/>
        <v>33057.36502217887</v>
      </c>
      <c r="W102" s="24">
        <v>0</v>
      </c>
      <c r="X102" s="18">
        <f t="shared" si="43"/>
        <v>33057.36502217887</v>
      </c>
      <c r="Y102" s="13" t="s">
        <v>110</v>
      </c>
      <c r="Z102" s="13" t="s">
        <v>110</v>
      </c>
      <c r="AA102" s="13" t="s">
        <v>1052</v>
      </c>
      <c r="AB102" s="20">
        <v>18.771799999999999</v>
      </c>
      <c r="AC102" s="13" t="s">
        <v>110</v>
      </c>
      <c r="AD102" s="13" t="s">
        <v>110</v>
      </c>
      <c r="AE102" s="13" t="s">
        <v>110</v>
      </c>
      <c r="AF102" s="13" t="s">
        <v>110</v>
      </c>
      <c r="AG102" s="13" t="s">
        <v>110</v>
      </c>
      <c r="AH102" s="13" t="s">
        <v>110</v>
      </c>
      <c r="AI102" s="13" t="s">
        <v>110</v>
      </c>
      <c r="AJ102" s="13" t="s">
        <v>110</v>
      </c>
      <c r="AL102" s="13" t="s">
        <v>110</v>
      </c>
      <c r="AM102" s="13" t="s">
        <v>246</v>
      </c>
      <c r="AN102" s="47" t="s">
        <v>1053</v>
      </c>
      <c r="AO102" s="13" t="s">
        <v>1029</v>
      </c>
      <c r="AP102" s="13" t="s">
        <v>1043</v>
      </c>
      <c r="AQ102" s="13" t="s">
        <v>165</v>
      </c>
      <c r="AR102" s="16" t="s">
        <v>1030</v>
      </c>
      <c r="AS102" s="13">
        <v>72042920</v>
      </c>
      <c r="AU102" s="13" t="s">
        <v>1054</v>
      </c>
      <c r="AW102" s="24">
        <v>800</v>
      </c>
      <c r="AX102" s="13" t="s">
        <v>1055</v>
      </c>
      <c r="AY102" s="16" t="s">
        <v>1056</v>
      </c>
      <c r="AZ102" s="14">
        <v>46175</v>
      </c>
      <c r="BA102" s="45">
        <v>18.771799999999999</v>
      </c>
      <c r="BB102" s="24">
        <f>U102</f>
        <v>1761.0119978999815</v>
      </c>
      <c r="BC102" s="24">
        <v>0</v>
      </c>
      <c r="BD102" s="24">
        <v>0</v>
      </c>
      <c r="BE102" s="24">
        <f t="shared" si="36"/>
        <v>33057.36502217887</v>
      </c>
      <c r="BF102" s="24">
        <v>0</v>
      </c>
      <c r="BG102" s="13" t="s">
        <v>110</v>
      </c>
      <c r="BH102" s="20">
        <f t="shared" si="42"/>
        <v>33057.36502217887</v>
      </c>
      <c r="BI102" s="24">
        <f t="shared" si="28"/>
        <v>3239621.7721735295</v>
      </c>
      <c r="BJ102" s="18">
        <f t="shared" si="37"/>
        <v>33057.36502217887</v>
      </c>
      <c r="BK102" s="24">
        <f t="shared" si="29"/>
        <v>3239621.7721735295</v>
      </c>
      <c r="BL102" s="24">
        <f t="shared" si="47"/>
        <v>0</v>
      </c>
      <c r="BN102" s="24">
        <v>0</v>
      </c>
      <c r="BO102" s="24">
        <v>0</v>
      </c>
      <c r="BP102" s="24">
        <f t="shared" si="39"/>
        <v>0</v>
      </c>
      <c r="BQ102" s="24"/>
      <c r="BR102" s="13" t="s">
        <v>122</v>
      </c>
      <c r="BS102" s="13" t="s">
        <v>169</v>
      </c>
      <c r="BT102" s="13" t="s">
        <v>124</v>
      </c>
      <c r="BU102" s="16" t="s">
        <v>1034</v>
      </c>
      <c r="BV102" s="16"/>
      <c r="BW102" s="16" t="s">
        <v>982</v>
      </c>
      <c r="BX102" s="13" t="s">
        <v>124</v>
      </c>
      <c r="BY102" s="13" t="s">
        <v>380</v>
      </c>
      <c r="BZ102" s="24">
        <v>47251</v>
      </c>
      <c r="CA102" s="24"/>
      <c r="CB102" s="22" t="s">
        <v>110</v>
      </c>
      <c r="CC102" s="33" t="s">
        <v>110</v>
      </c>
      <c r="CD102" s="18" t="s">
        <v>110</v>
      </c>
      <c r="CE102" s="24" t="s">
        <v>124</v>
      </c>
      <c r="CF102" s="13" t="s">
        <v>124</v>
      </c>
      <c r="CG102" s="13">
        <v>9750363</v>
      </c>
      <c r="CH102" s="13" t="s">
        <v>172</v>
      </c>
      <c r="CI102" s="24">
        <v>96.6</v>
      </c>
      <c r="CJ102" s="24">
        <f t="shared" si="30"/>
        <v>0</v>
      </c>
      <c r="CK102" s="24">
        <v>33058.94</v>
      </c>
      <c r="CL102" s="24">
        <f t="shared" si="49"/>
        <v>3193494</v>
      </c>
      <c r="CM102" s="24">
        <v>0</v>
      </c>
      <c r="CN102" s="18">
        <f t="shared" si="33"/>
        <v>3193494</v>
      </c>
      <c r="CO102" s="18">
        <f t="shared" si="23"/>
        <v>574829</v>
      </c>
      <c r="CP102" s="24">
        <v>0</v>
      </c>
      <c r="CQ102" s="18">
        <f t="shared" si="34"/>
        <v>574829</v>
      </c>
      <c r="CR102" s="24"/>
      <c r="CS102" s="14"/>
      <c r="CT102" s="13" t="s">
        <v>110</v>
      </c>
    </row>
    <row r="103" spans="1:100" s="13" customFormat="1" ht="43.2">
      <c r="A103" s="12" t="s">
        <v>95</v>
      </c>
      <c r="B103" s="13" t="str">
        <f t="shared" si="35"/>
        <v>090484</v>
      </c>
      <c r="C103" s="13" t="s">
        <v>96</v>
      </c>
      <c r="D103" s="13" t="s">
        <v>97</v>
      </c>
      <c r="E103" s="13" t="s">
        <v>1057</v>
      </c>
      <c r="F103" s="14">
        <v>46149</v>
      </c>
      <c r="G103" s="14">
        <f t="shared" si="40"/>
        <v>46162</v>
      </c>
      <c r="H103" s="15" t="s">
        <v>99</v>
      </c>
      <c r="I103" s="15" t="s">
        <v>100</v>
      </c>
      <c r="J103" s="15" t="s">
        <v>100</v>
      </c>
      <c r="K103" s="14">
        <v>46131</v>
      </c>
      <c r="L103" s="13">
        <v>1620020901</v>
      </c>
      <c r="M103" s="13">
        <f t="shared" si="31"/>
        <v>1</v>
      </c>
      <c r="N103" s="43">
        <v>46062</v>
      </c>
      <c r="O103" s="30" t="s">
        <v>101</v>
      </c>
      <c r="P103" s="16" t="s">
        <v>102</v>
      </c>
      <c r="Q103" s="17" t="s">
        <v>1058</v>
      </c>
      <c r="R103" s="16" t="s">
        <v>758</v>
      </c>
      <c r="S103" s="16" t="s">
        <v>634</v>
      </c>
      <c r="T103" s="24">
        <v>100</v>
      </c>
      <c r="U103" s="24">
        <v>595</v>
      </c>
      <c r="V103" s="24">
        <f t="shared" si="32"/>
        <v>59500</v>
      </c>
      <c r="W103" s="24">
        <v>0</v>
      </c>
      <c r="X103" s="18">
        <f t="shared" si="43"/>
        <v>59500</v>
      </c>
      <c r="Y103" s="28">
        <v>8110045854</v>
      </c>
      <c r="Z103" s="14">
        <v>46167</v>
      </c>
      <c r="AA103" s="13" t="s">
        <v>1059</v>
      </c>
      <c r="AB103" s="13">
        <v>25.22</v>
      </c>
      <c r="AC103" s="13" t="s">
        <v>110</v>
      </c>
      <c r="AD103" s="13" t="s">
        <v>110</v>
      </c>
      <c r="AE103" s="13" t="s">
        <v>110</v>
      </c>
      <c r="AF103" s="13" t="s">
        <v>110</v>
      </c>
      <c r="AG103" s="13" t="s">
        <v>110</v>
      </c>
      <c r="AH103" s="13" t="s">
        <v>110</v>
      </c>
      <c r="AI103" s="13" t="s">
        <v>110</v>
      </c>
      <c r="AJ103" s="13" t="s">
        <v>110</v>
      </c>
      <c r="AK103" s="13">
        <v>25222</v>
      </c>
      <c r="AL103" s="13" t="s">
        <v>1060</v>
      </c>
      <c r="AM103" s="13" t="s">
        <v>112</v>
      </c>
      <c r="AN103" s="47">
        <v>14451</v>
      </c>
      <c r="AO103" s="13" t="s">
        <v>350</v>
      </c>
      <c r="AP103" s="13" t="s">
        <v>115</v>
      </c>
      <c r="AQ103" s="13" t="s">
        <v>116</v>
      </c>
      <c r="AR103" s="13" t="s">
        <v>116</v>
      </c>
      <c r="AS103" s="13">
        <v>72044900</v>
      </c>
      <c r="AT103" s="13" t="s">
        <v>117</v>
      </c>
      <c r="AU103" s="13" t="s">
        <v>1061</v>
      </c>
      <c r="AV103" s="13" t="s">
        <v>119</v>
      </c>
      <c r="AW103" s="24">
        <v>800</v>
      </c>
      <c r="AX103" s="13" t="s">
        <v>1062</v>
      </c>
      <c r="AY103" s="16">
        <v>9000101153</v>
      </c>
      <c r="AZ103" s="14">
        <v>46194</v>
      </c>
      <c r="BA103" s="45">
        <v>25.22</v>
      </c>
      <c r="BB103" s="24">
        <f>U103</f>
        <v>595</v>
      </c>
      <c r="BC103" s="24">
        <v>0</v>
      </c>
      <c r="BD103" s="24">
        <v>95.27</v>
      </c>
      <c r="BE103" s="24">
        <f t="shared" si="36"/>
        <v>15005.9</v>
      </c>
      <c r="BF103" s="18">
        <v>0</v>
      </c>
      <c r="BG103" s="13" t="s">
        <v>110</v>
      </c>
      <c r="BH103" s="20">
        <f t="shared" si="42"/>
        <v>15005.9</v>
      </c>
      <c r="BI103" s="24">
        <f t="shared" si="28"/>
        <v>1470578.2</v>
      </c>
      <c r="BJ103" s="18">
        <f t="shared" si="37"/>
        <v>15005.9</v>
      </c>
      <c r="BK103" s="24">
        <f t="shared" si="29"/>
        <v>1738281.4246105</v>
      </c>
      <c r="BL103" s="24">
        <f t="shared" si="47"/>
        <v>1429612.0929999999</v>
      </c>
      <c r="BM103" s="14">
        <v>46210</v>
      </c>
      <c r="BN103" s="24">
        <v>0</v>
      </c>
      <c r="BO103" s="24">
        <v>0</v>
      </c>
      <c r="BP103" s="24">
        <f t="shared" si="39"/>
        <v>0</v>
      </c>
      <c r="BQ103" s="24">
        <f>5929.61+2365.34</f>
        <v>8294.9500000000007</v>
      </c>
      <c r="BR103" s="12" t="s">
        <v>122</v>
      </c>
      <c r="BS103" s="13" t="s">
        <v>169</v>
      </c>
      <c r="BT103" s="13" t="s">
        <v>124</v>
      </c>
      <c r="BU103" s="16" t="s">
        <v>299</v>
      </c>
      <c r="BV103" s="16" t="s">
        <v>354</v>
      </c>
      <c r="BW103" s="16" t="s">
        <v>355</v>
      </c>
      <c r="BX103" s="13">
        <v>170</v>
      </c>
      <c r="BY103" s="13" t="s">
        <v>124</v>
      </c>
      <c r="BZ103" s="24">
        <v>33207.480000000003</v>
      </c>
      <c r="CA103" s="18" t="s">
        <v>130</v>
      </c>
      <c r="CB103" s="22" t="s">
        <v>110</v>
      </c>
      <c r="CC103" s="33" t="s">
        <v>110</v>
      </c>
      <c r="CD103" s="18" t="s">
        <v>110</v>
      </c>
      <c r="CE103" s="24" t="s">
        <v>124</v>
      </c>
      <c r="CF103" s="13" t="s">
        <v>124</v>
      </c>
      <c r="CG103" s="13">
        <v>2158737</v>
      </c>
      <c r="CH103" s="13" t="s">
        <v>100</v>
      </c>
      <c r="CI103" s="24">
        <v>95.3</v>
      </c>
      <c r="CJ103" s="24">
        <f t="shared" si="30"/>
        <v>267703.22461049998</v>
      </c>
      <c r="CK103" s="24">
        <v>15005.9</v>
      </c>
      <c r="CL103" s="24">
        <f>ROUND(CK103*CI103,0)</f>
        <v>1430062</v>
      </c>
      <c r="CM103" s="24">
        <v>0</v>
      </c>
      <c r="CN103" s="18">
        <f t="shared" si="33"/>
        <v>1430062</v>
      </c>
      <c r="CO103" s="18">
        <f t="shared" ref="CO103:CO127" si="50">ROUND(CN103*18%,0)</f>
        <v>257411</v>
      </c>
      <c r="CP103" s="24">
        <v>846</v>
      </c>
      <c r="CQ103" s="18">
        <f t="shared" si="34"/>
        <v>258257</v>
      </c>
      <c r="CR103" s="24">
        <f>33600+177+1660+800+56+3250</f>
        <v>39543</v>
      </c>
      <c r="CS103" s="14">
        <v>46217</v>
      </c>
      <c r="CT103" s="13" t="s">
        <v>110</v>
      </c>
      <c r="CU103" s="13" t="s">
        <v>1063</v>
      </c>
    </row>
    <row r="104" spans="1:100" s="13" customFormat="1" ht="28.8">
      <c r="A104" s="12" t="s">
        <v>288</v>
      </c>
      <c r="B104" s="13" t="str">
        <f t="shared" si="35"/>
        <v>093570</v>
      </c>
      <c r="C104" s="13" t="s">
        <v>571</v>
      </c>
      <c r="D104" s="13" t="s">
        <v>97</v>
      </c>
      <c r="E104" s="13" t="s">
        <v>1064</v>
      </c>
      <c r="F104" s="14">
        <v>46122</v>
      </c>
      <c r="G104" s="14">
        <f t="shared" si="40"/>
        <v>46135</v>
      </c>
      <c r="H104" s="15" t="s">
        <v>99</v>
      </c>
      <c r="I104" s="15"/>
      <c r="J104" s="15"/>
      <c r="L104" s="13">
        <v>1620021455</v>
      </c>
      <c r="M104" s="13">
        <f t="shared" si="31"/>
        <v>1</v>
      </c>
      <c r="N104" s="43">
        <v>46216</v>
      </c>
      <c r="O104" s="30"/>
      <c r="P104" s="16" t="s">
        <v>370</v>
      </c>
      <c r="Q104" s="17" t="s">
        <v>824</v>
      </c>
      <c r="R104" s="13" t="s">
        <v>825</v>
      </c>
      <c r="S104" s="13" t="s">
        <v>826</v>
      </c>
      <c r="T104" s="24">
        <v>22</v>
      </c>
      <c r="U104" s="24">
        <v>2700</v>
      </c>
      <c r="V104" s="24">
        <f t="shared" si="32"/>
        <v>59400</v>
      </c>
      <c r="W104" s="24">
        <v>0</v>
      </c>
      <c r="X104" s="18">
        <f t="shared" si="43"/>
        <v>59400</v>
      </c>
      <c r="Y104" s="28">
        <v>8110046639</v>
      </c>
      <c r="Z104" s="14">
        <v>46223</v>
      </c>
      <c r="AA104" s="13" t="s">
        <v>1065</v>
      </c>
      <c r="AB104" s="24">
        <v>23.77</v>
      </c>
      <c r="AC104" s="13" t="s">
        <v>110</v>
      </c>
      <c r="AD104" s="13" t="s">
        <v>110</v>
      </c>
      <c r="AE104" s="13" t="s">
        <v>110</v>
      </c>
      <c r="AF104" s="13" t="s">
        <v>110</v>
      </c>
      <c r="AG104" s="13" t="s">
        <v>110</v>
      </c>
      <c r="AH104" s="13" t="s">
        <v>110</v>
      </c>
      <c r="AI104" s="13" t="s">
        <v>110</v>
      </c>
      <c r="AJ104" s="13" t="s">
        <v>110</v>
      </c>
      <c r="AK104" s="13">
        <v>23770</v>
      </c>
      <c r="AL104" s="13" t="s">
        <v>110</v>
      </c>
      <c r="AM104" s="13" t="s">
        <v>112</v>
      </c>
      <c r="AN104" s="16">
        <v>21665</v>
      </c>
      <c r="AP104" s="13" t="s">
        <v>115</v>
      </c>
      <c r="AQ104" s="13" t="s">
        <v>116</v>
      </c>
      <c r="AR104" s="13" t="s">
        <v>116</v>
      </c>
      <c r="AT104" s="13" t="s">
        <v>117</v>
      </c>
      <c r="AW104" s="24"/>
      <c r="BA104" s="45"/>
      <c r="BB104" s="24"/>
      <c r="BC104" s="24">
        <v>0</v>
      </c>
      <c r="BD104" s="24">
        <v>0</v>
      </c>
      <c r="BE104" s="24">
        <f t="shared" si="36"/>
        <v>0</v>
      </c>
      <c r="BF104" s="18">
        <v>0</v>
      </c>
      <c r="BH104" s="20">
        <f t="shared" si="42"/>
        <v>0</v>
      </c>
      <c r="BI104" s="24">
        <f t="shared" si="28"/>
        <v>0</v>
      </c>
      <c r="BJ104" s="18">
        <f t="shared" si="37"/>
        <v>0</v>
      </c>
      <c r="BK104" s="24">
        <f t="shared" si="29"/>
        <v>1144853.88255</v>
      </c>
      <c r="BL104" s="24">
        <f t="shared" si="47"/>
        <v>0</v>
      </c>
      <c r="BN104" s="24">
        <v>0</v>
      </c>
      <c r="BO104" s="24">
        <v>0</v>
      </c>
      <c r="BP104" s="24">
        <f t="shared" si="39"/>
        <v>0</v>
      </c>
      <c r="BQ104" s="24">
        <v>0</v>
      </c>
      <c r="BR104" s="13" t="s">
        <v>581</v>
      </c>
      <c r="BS104" s="13" t="s">
        <v>169</v>
      </c>
      <c r="BT104" s="13" t="s">
        <v>124</v>
      </c>
      <c r="BU104" s="16" t="s">
        <v>299</v>
      </c>
      <c r="BW104" s="16"/>
      <c r="BY104" s="13" t="s">
        <v>129</v>
      </c>
      <c r="BZ104" s="24"/>
      <c r="CA104" s="24"/>
      <c r="CB104" s="22" t="s">
        <v>110</v>
      </c>
      <c r="CC104" s="33" t="s">
        <v>110</v>
      </c>
      <c r="CD104" s="18" t="s">
        <v>110</v>
      </c>
      <c r="CE104" s="24" t="s">
        <v>124</v>
      </c>
      <c r="CF104" s="13" t="s">
        <v>124</v>
      </c>
      <c r="CH104" s="13" t="s">
        <v>172</v>
      </c>
      <c r="CI104" s="24"/>
      <c r="CJ104" s="24">
        <f t="shared" si="30"/>
        <v>1144853.88255</v>
      </c>
      <c r="CK104" s="24"/>
      <c r="CL104" s="24">
        <f t="shared" ref="CL104:CL111" si="51">ROUND(((CK104*CI104)),0)</f>
        <v>0</v>
      </c>
      <c r="CM104" s="24">
        <v>0</v>
      </c>
      <c r="CN104" s="18">
        <f t="shared" si="33"/>
        <v>0</v>
      </c>
      <c r="CO104" s="18">
        <f t="shared" si="50"/>
        <v>0</v>
      </c>
      <c r="CP104" s="24">
        <v>0</v>
      </c>
      <c r="CQ104" s="18">
        <f t="shared" si="34"/>
        <v>0</v>
      </c>
      <c r="CR104" s="24"/>
      <c r="CT104" s="13" t="s">
        <v>110</v>
      </c>
    </row>
    <row r="105" spans="1:100" s="13" customFormat="1" ht="43.2">
      <c r="A105" s="12" t="s">
        <v>288</v>
      </c>
      <c r="B105" s="13" t="str">
        <f t="shared" si="35"/>
        <v xml:space="preserve">93048 </v>
      </c>
      <c r="C105" s="13" t="s">
        <v>571</v>
      </c>
      <c r="D105" s="13" t="s">
        <v>97</v>
      </c>
      <c r="E105" s="13" t="s">
        <v>1066</v>
      </c>
      <c r="F105" s="14">
        <v>46294</v>
      </c>
      <c r="G105" s="14">
        <f>F105+13</f>
        <v>46307</v>
      </c>
      <c r="H105" s="15" t="s">
        <v>99</v>
      </c>
      <c r="I105" s="15"/>
      <c r="J105" s="15"/>
      <c r="L105" s="13">
        <v>1620021417</v>
      </c>
      <c r="M105" s="13">
        <f t="shared" si="31"/>
        <v>1</v>
      </c>
      <c r="N105" s="43">
        <v>46210</v>
      </c>
      <c r="O105" s="30" t="s">
        <v>893</v>
      </c>
      <c r="P105" s="16" t="s">
        <v>370</v>
      </c>
      <c r="Q105" s="17" t="s">
        <v>1067</v>
      </c>
      <c r="R105" s="16" t="s">
        <v>1068</v>
      </c>
      <c r="S105" s="16" t="s">
        <v>1068</v>
      </c>
      <c r="T105" s="24">
        <f>16.318+1.874+6.674</f>
        <v>24.866</v>
      </c>
      <c r="U105" s="24">
        <f>((16.318*5600)+(1.874*7300)+(6.674*5100))/(16.318+1.874+6.674)</f>
        <v>5593.9194080270245</v>
      </c>
      <c r="V105" s="24">
        <f t="shared" si="32"/>
        <v>139098.4</v>
      </c>
      <c r="W105" s="24">
        <v>0</v>
      </c>
      <c r="X105" s="18">
        <f t="shared" si="43"/>
        <v>139098.4</v>
      </c>
      <c r="Y105" s="28">
        <v>8110046601</v>
      </c>
      <c r="Z105" s="14">
        <v>46218</v>
      </c>
      <c r="AA105" s="13" t="s">
        <v>1069</v>
      </c>
      <c r="AB105" s="24">
        <f>16.318+1.874+6.674</f>
        <v>24.866</v>
      </c>
      <c r="AC105" s="13" t="s">
        <v>110</v>
      </c>
      <c r="AD105" s="13" t="s">
        <v>110</v>
      </c>
      <c r="AE105" s="13" t="s">
        <v>110</v>
      </c>
      <c r="AF105" s="13" t="s">
        <v>110</v>
      </c>
      <c r="AG105" s="13" t="s">
        <v>110</v>
      </c>
      <c r="AH105" s="13" t="s">
        <v>110</v>
      </c>
      <c r="AI105" s="13" t="s">
        <v>110</v>
      </c>
      <c r="AJ105" s="13" t="s">
        <v>110</v>
      </c>
      <c r="AK105" s="13">
        <v>24866</v>
      </c>
      <c r="AL105" s="13" t="s">
        <v>110</v>
      </c>
      <c r="AM105" s="13" t="s">
        <v>112</v>
      </c>
      <c r="AN105" s="16">
        <v>11927</v>
      </c>
      <c r="AP105" s="13" t="s">
        <v>115</v>
      </c>
      <c r="AQ105" s="13" t="s">
        <v>116</v>
      </c>
      <c r="AR105" s="13" t="s">
        <v>116</v>
      </c>
      <c r="AS105" s="13">
        <v>75030010</v>
      </c>
      <c r="AT105" s="13" t="s">
        <v>211</v>
      </c>
      <c r="AW105" s="24"/>
      <c r="BA105" s="45"/>
      <c r="BB105" s="24"/>
      <c r="BC105" s="24">
        <v>0</v>
      </c>
      <c r="BD105" s="24">
        <v>0</v>
      </c>
      <c r="BE105" s="24">
        <f t="shared" si="36"/>
        <v>0</v>
      </c>
      <c r="BF105" s="18">
        <v>0</v>
      </c>
      <c r="BH105" s="20">
        <f t="shared" si="42"/>
        <v>0</v>
      </c>
      <c r="BI105" s="24">
        <f t="shared" si="28"/>
        <v>0</v>
      </c>
      <c r="BJ105" s="18">
        <f t="shared" si="37"/>
        <v>0</v>
      </c>
      <c r="BK105" s="24">
        <f t="shared" si="29"/>
        <v>2481299.8534799996</v>
      </c>
      <c r="BL105" s="24">
        <f t="shared" si="47"/>
        <v>0</v>
      </c>
      <c r="BN105" s="24">
        <v>0</v>
      </c>
      <c r="BO105" s="24">
        <v>0</v>
      </c>
      <c r="BP105" s="24">
        <f t="shared" si="39"/>
        <v>0</v>
      </c>
      <c r="BQ105" s="24">
        <v>0</v>
      </c>
      <c r="BR105" s="13" t="s">
        <v>581</v>
      </c>
      <c r="BS105" s="13" t="s">
        <v>169</v>
      </c>
      <c r="BT105" s="13" t="s">
        <v>124</v>
      </c>
      <c r="BU105" s="16" t="s">
        <v>299</v>
      </c>
      <c r="BV105" s="13" t="s">
        <v>965</v>
      </c>
      <c r="BW105" s="16" t="s">
        <v>127</v>
      </c>
      <c r="BZ105" s="24"/>
      <c r="CA105" s="24"/>
      <c r="CB105" s="22" t="s">
        <v>110</v>
      </c>
      <c r="CC105" s="33" t="s">
        <v>110</v>
      </c>
      <c r="CD105" s="18" t="s">
        <v>110</v>
      </c>
      <c r="CE105" s="24" t="s">
        <v>124</v>
      </c>
      <c r="CF105" s="13" t="s">
        <v>124</v>
      </c>
      <c r="CH105" s="13" t="s">
        <v>172</v>
      </c>
      <c r="CI105" s="24"/>
      <c r="CJ105" s="24">
        <f t="shared" si="30"/>
        <v>2481299.8534799996</v>
      </c>
      <c r="CK105" s="24"/>
      <c r="CL105" s="24">
        <f t="shared" si="51"/>
        <v>0</v>
      </c>
      <c r="CM105" s="24">
        <v>0</v>
      </c>
      <c r="CN105" s="18">
        <f t="shared" si="33"/>
        <v>0</v>
      </c>
      <c r="CO105" s="18">
        <f t="shared" si="50"/>
        <v>0</v>
      </c>
      <c r="CP105" s="24">
        <v>0</v>
      </c>
      <c r="CQ105" s="18">
        <f t="shared" si="34"/>
        <v>0</v>
      </c>
      <c r="CR105" s="24"/>
      <c r="CT105" s="13" t="s">
        <v>110</v>
      </c>
    </row>
    <row r="106" spans="1:100" s="13" customFormat="1" ht="28.8">
      <c r="A106" s="12" t="s">
        <v>288</v>
      </c>
      <c r="B106" s="13" t="str">
        <f t="shared" si="35"/>
        <v/>
      </c>
      <c r="C106" s="13" t="s">
        <v>571</v>
      </c>
      <c r="D106" s="13" t="s">
        <v>97</v>
      </c>
      <c r="G106" s="14" t="s">
        <v>211</v>
      </c>
      <c r="H106" s="15" t="s">
        <v>99</v>
      </c>
      <c r="I106" s="15"/>
      <c r="J106" s="15"/>
      <c r="L106" s="13">
        <v>1620021502</v>
      </c>
      <c r="M106" s="13">
        <f t="shared" si="31"/>
        <v>0</v>
      </c>
      <c r="N106" s="43">
        <v>46224</v>
      </c>
      <c r="O106" s="30"/>
      <c r="P106" s="16" t="s">
        <v>370</v>
      </c>
      <c r="Q106" s="17" t="s">
        <v>1070</v>
      </c>
      <c r="R106" s="13" t="s">
        <v>1071</v>
      </c>
      <c r="S106" s="13" t="s">
        <v>1072</v>
      </c>
      <c r="T106" s="24">
        <v>22</v>
      </c>
      <c r="U106" s="24">
        <v>1820</v>
      </c>
      <c r="V106" s="24">
        <f t="shared" si="32"/>
        <v>40040</v>
      </c>
      <c r="W106" s="24">
        <v>0</v>
      </c>
      <c r="X106" s="18">
        <f t="shared" si="43"/>
        <v>40040</v>
      </c>
      <c r="Y106" s="28">
        <v>8110046751</v>
      </c>
      <c r="Z106" s="14">
        <v>46230</v>
      </c>
      <c r="AA106" s="13" t="s">
        <v>1073</v>
      </c>
      <c r="AB106" s="24">
        <v>20.52</v>
      </c>
      <c r="AC106" s="13" t="s">
        <v>110</v>
      </c>
      <c r="AD106" s="13" t="s">
        <v>110</v>
      </c>
      <c r="AE106" s="13" t="s">
        <v>110</v>
      </c>
      <c r="AF106" s="13" t="s">
        <v>110</v>
      </c>
      <c r="AG106" s="13" t="s">
        <v>110</v>
      </c>
      <c r="AH106" s="13" t="s">
        <v>110</v>
      </c>
      <c r="AI106" s="13" t="s">
        <v>110</v>
      </c>
      <c r="AJ106" s="13" t="s">
        <v>110</v>
      </c>
      <c r="AL106" s="13" t="s">
        <v>110</v>
      </c>
      <c r="AM106" s="13" t="s">
        <v>112</v>
      </c>
      <c r="AN106" s="16"/>
      <c r="AT106" s="13" t="s">
        <v>211</v>
      </c>
      <c r="AW106" s="24"/>
      <c r="BA106" s="45"/>
      <c r="BB106" s="24"/>
      <c r="BC106" s="24">
        <v>0</v>
      </c>
      <c r="BD106" s="24">
        <v>0</v>
      </c>
      <c r="BE106" s="24">
        <f t="shared" si="36"/>
        <v>0</v>
      </c>
      <c r="BF106" s="18">
        <v>0</v>
      </c>
      <c r="BH106" s="20">
        <f t="shared" si="42"/>
        <v>0</v>
      </c>
      <c r="BI106" s="24">
        <f t="shared" si="28"/>
        <v>0</v>
      </c>
      <c r="BJ106" s="18">
        <f t="shared" si="37"/>
        <v>0</v>
      </c>
      <c r="BK106" s="24">
        <f t="shared" si="29"/>
        <v>0</v>
      </c>
      <c r="BL106" s="24">
        <f t="shared" si="47"/>
        <v>0</v>
      </c>
      <c r="BN106" s="24">
        <v>0</v>
      </c>
      <c r="BO106" s="24">
        <v>0</v>
      </c>
      <c r="BP106" s="24">
        <f t="shared" si="39"/>
        <v>0</v>
      </c>
      <c r="BQ106" s="24">
        <v>0</v>
      </c>
      <c r="BR106" s="13" t="s">
        <v>581</v>
      </c>
      <c r="BS106" s="13" t="s">
        <v>169</v>
      </c>
      <c r="BT106" s="13" t="s">
        <v>124</v>
      </c>
      <c r="BW106" s="16"/>
      <c r="BY106" s="13" t="s">
        <v>129</v>
      </c>
      <c r="BZ106" s="24"/>
      <c r="CA106" s="24"/>
      <c r="CB106" s="22" t="s">
        <v>110</v>
      </c>
      <c r="CC106" s="33" t="s">
        <v>110</v>
      </c>
      <c r="CD106" s="18" t="s">
        <v>110</v>
      </c>
      <c r="CE106" s="24" t="s">
        <v>124</v>
      </c>
      <c r="CF106" s="13" t="s">
        <v>124</v>
      </c>
      <c r="CH106" s="13" t="s">
        <v>172</v>
      </c>
      <c r="CI106" s="24"/>
      <c r="CJ106" s="24">
        <f t="shared" si="30"/>
        <v>0</v>
      </c>
      <c r="CK106" s="24"/>
      <c r="CL106" s="24">
        <f t="shared" si="51"/>
        <v>0</v>
      </c>
      <c r="CM106" s="24">
        <v>0</v>
      </c>
      <c r="CN106" s="24">
        <f t="shared" si="33"/>
        <v>0</v>
      </c>
      <c r="CO106" s="24">
        <f t="shared" si="50"/>
        <v>0</v>
      </c>
      <c r="CP106" s="24">
        <v>0</v>
      </c>
      <c r="CQ106" s="24">
        <f t="shared" si="34"/>
        <v>0</v>
      </c>
      <c r="CR106" s="24"/>
      <c r="CT106" s="13" t="s">
        <v>110</v>
      </c>
    </row>
    <row r="107" spans="1:100" s="13" customFormat="1" ht="43.2">
      <c r="A107" s="12" t="s">
        <v>288</v>
      </c>
      <c r="B107" s="13" t="str">
        <f t="shared" si="35"/>
        <v>160902</v>
      </c>
      <c r="C107" s="13" t="s">
        <v>571</v>
      </c>
      <c r="D107" s="13" t="s">
        <v>97</v>
      </c>
      <c r="E107" s="57" t="s">
        <v>1074</v>
      </c>
      <c r="F107" s="14">
        <v>46298</v>
      </c>
      <c r="G107" s="14">
        <f t="shared" si="40"/>
        <v>46311</v>
      </c>
      <c r="H107" s="15" t="s">
        <v>99</v>
      </c>
      <c r="I107" s="15"/>
      <c r="J107" s="15"/>
      <c r="L107" s="13">
        <v>1620021439</v>
      </c>
      <c r="M107" s="13">
        <f t="shared" si="31"/>
        <v>1</v>
      </c>
      <c r="N107" s="43">
        <v>46215</v>
      </c>
      <c r="O107" s="30" t="s">
        <v>893</v>
      </c>
      <c r="P107" s="16" t="s">
        <v>370</v>
      </c>
      <c r="Q107" s="17" t="s">
        <v>1075</v>
      </c>
      <c r="R107" s="16" t="s">
        <v>1076</v>
      </c>
      <c r="T107" s="24">
        <v>23</v>
      </c>
      <c r="U107" s="24">
        <f>((13*2775)+(5*2035)+(5*930))/23</f>
        <v>2213.0434782608695</v>
      </c>
      <c r="V107" s="24">
        <f t="shared" si="32"/>
        <v>50900</v>
      </c>
      <c r="W107" s="24">
        <v>0</v>
      </c>
      <c r="X107" s="18">
        <f t="shared" si="43"/>
        <v>50900</v>
      </c>
      <c r="Y107" s="28"/>
      <c r="AC107" s="13" t="s">
        <v>110</v>
      </c>
      <c r="AD107" s="13" t="s">
        <v>110</v>
      </c>
      <c r="AE107" s="13" t="s">
        <v>110</v>
      </c>
      <c r="AF107" s="13" t="s">
        <v>110</v>
      </c>
      <c r="AG107" s="13" t="s">
        <v>110</v>
      </c>
      <c r="AH107" s="13" t="s">
        <v>110</v>
      </c>
      <c r="AI107" s="13" t="s">
        <v>110</v>
      </c>
      <c r="AJ107" s="13" t="s">
        <v>110</v>
      </c>
      <c r="AK107" s="13">
        <v>23688</v>
      </c>
      <c r="AL107" s="13" t="s">
        <v>110</v>
      </c>
      <c r="AM107" s="13" t="s">
        <v>112</v>
      </c>
      <c r="AN107" s="16">
        <v>27802</v>
      </c>
      <c r="AO107" s="13" t="s">
        <v>812</v>
      </c>
      <c r="AP107" s="13" t="s">
        <v>115</v>
      </c>
      <c r="AQ107" s="13" t="s">
        <v>1077</v>
      </c>
      <c r="AR107" s="13" t="s">
        <v>1077</v>
      </c>
      <c r="AS107" s="13">
        <v>72042190</v>
      </c>
      <c r="AT107" s="13" t="s">
        <v>117</v>
      </c>
      <c r="AU107" s="13" t="s">
        <v>1078</v>
      </c>
      <c r="AV107" s="13" t="s">
        <v>119</v>
      </c>
      <c r="AW107" s="24">
        <v>800</v>
      </c>
      <c r="AX107" s="13" t="s">
        <v>1079</v>
      </c>
      <c r="AY107" s="13">
        <v>9000103524</v>
      </c>
      <c r="AZ107" s="13" t="s">
        <v>1080</v>
      </c>
      <c r="BA107" s="45">
        <v>23.687999999999999</v>
      </c>
      <c r="BB107" s="24">
        <v>2160.1799999999998</v>
      </c>
      <c r="BC107" s="24">
        <v>0</v>
      </c>
      <c r="BD107" s="24">
        <v>0</v>
      </c>
      <c r="BE107" s="24">
        <f t="shared" si="36"/>
        <v>51170.343839999994</v>
      </c>
      <c r="BF107" s="18">
        <v>0</v>
      </c>
      <c r="BH107" s="20">
        <f t="shared" si="42"/>
        <v>51170.343839999994</v>
      </c>
      <c r="BI107" s="24">
        <f t="shared" si="28"/>
        <v>5014693.6963199992</v>
      </c>
      <c r="BJ107" s="18">
        <f t="shared" si="37"/>
        <v>51170.343839999994</v>
      </c>
      <c r="BK107" s="24">
        <f t="shared" si="29"/>
        <v>5949831.1599391289</v>
      </c>
      <c r="BL107" s="24">
        <f t="shared" si="47"/>
        <v>0</v>
      </c>
      <c r="BN107" s="24">
        <v>0</v>
      </c>
      <c r="BO107" s="24">
        <v>0</v>
      </c>
      <c r="BP107" s="24">
        <f t="shared" si="39"/>
        <v>0</v>
      </c>
      <c r="BQ107" s="24">
        <v>0</v>
      </c>
      <c r="BR107" s="13" t="s">
        <v>581</v>
      </c>
      <c r="BS107" s="13" t="s">
        <v>169</v>
      </c>
      <c r="BT107" s="13" t="s">
        <v>124</v>
      </c>
      <c r="BU107" s="16" t="s">
        <v>750</v>
      </c>
      <c r="BV107" s="13" t="s">
        <v>258</v>
      </c>
      <c r="BW107" s="16" t="s">
        <v>127</v>
      </c>
      <c r="BX107" s="58" t="s">
        <v>1081</v>
      </c>
      <c r="BY107" s="13" t="s">
        <v>1082</v>
      </c>
      <c r="BZ107" s="24"/>
      <c r="CA107" s="24"/>
      <c r="CB107" s="22" t="s">
        <v>110</v>
      </c>
      <c r="CC107" s="33" t="s">
        <v>110</v>
      </c>
      <c r="CD107" s="18" t="s">
        <v>110</v>
      </c>
      <c r="CE107" s="24" t="s">
        <v>124</v>
      </c>
      <c r="CF107" s="13" t="s">
        <v>124</v>
      </c>
      <c r="CH107" s="13" t="s">
        <v>172</v>
      </c>
      <c r="CI107" s="24"/>
      <c r="CJ107" s="24">
        <f t="shared" si="30"/>
        <v>935137.4636191302</v>
      </c>
      <c r="CK107" s="24"/>
      <c r="CL107" s="24">
        <f t="shared" si="51"/>
        <v>0</v>
      </c>
      <c r="CM107" s="24">
        <v>0</v>
      </c>
      <c r="CN107" s="24">
        <f t="shared" si="33"/>
        <v>0</v>
      </c>
      <c r="CO107" s="24">
        <f t="shared" si="50"/>
        <v>0</v>
      </c>
      <c r="CP107" s="24">
        <v>0</v>
      </c>
      <c r="CQ107" s="24">
        <f t="shared" si="34"/>
        <v>0</v>
      </c>
      <c r="CR107" s="24"/>
      <c r="CT107" s="13" t="s">
        <v>110</v>
      </c>
    </row>
    <row r="108" spans="1:100" s="13" customFormat="1" ht="43.2">
      <c r="A108" s="12" t="s">
        <v>288</v>
      </c>
      <c r="B108" s="13" t="str">
        <f t="shared" si="35"/>
        <v xml:space="preserve"> </v>
      </c>
      <c r="C108" s="13" t="s">
        <v>571</v>
      </c>
      <c r="D108" s="13" t="s">
        <v>97</v>
      </c>
      <c r="E108" s="59" t="s">
        <v>211</v>
      </c>
      <c r="G108" s="14">
        <f t="shared" si="40"/>
        <v>13</v>
      </c>
      <c r="H108" s="15" t="s">
        <v>99</v>
      </c>
      <c r="I108" s="15"/>
      <c r="J108" s="15"/>
      <c r="L108" s="13">
        <v>1620021521</v>
      </c>
      <c r="M108" s="13">
        <f t="shared" si="31"/>
        <v>0</v>
      </c>
      <c r="N108" s="43">
        <v>46231</v>
      </c>
      <c r="O108" s="30"/>
      <c r="P108" s="16" t="s">
        <v>370</v>
      </c>
      <c r="Q108" s="17" t="s">
        <v>1083</v>
      </c>
      <c r="R108" s="16" t="s">
        <v>1084</v>
      </c>
      <c r="S108" s="16" t="s">
        <v>1085</v>
      </c>
      <c r="T108" s="24">
        <v>44</v>
      </c>
      <c r="U108" s="24">
        <f>((22*2600)+(22*1750))/(44)</f>
        <v>2175</v>
      </c>
      <c r="V108" s="24">
        <f t="shared" si="32"/>
        <v>95700</v>
      </c>
      <c r="W108" s="24">
        <v>0</v>
      </c>
      <c r="X108" s="18">
        <f t="shared" si="43"/>
        <v>95700</v>
      </c>
      <c r="Y108" s="28"/>
      <c r="AC108" s="13" t="s">
        <v>110</v>
      </c>
      <c r="AD108" s="13" t="s">
        <v>110</v>
      </c>
      <c r="AE108" s="13" t="s">
        <v>110</v>
      </c>
      <c r="AF108" s="13" t="s">
        <v>110</v>
      </c>
      <c r="AG108" s="13" t="s">
        <v>110</v>
      </c>
      <c r="AH108" s="13" t="s">
        <v>110</v>
      </c>
      <c r="AI108" s="13" t="s">
        <v>110</v>
      </c>
      <c r="AJ108" s="13" t="s">
        <v>110</v>
      </c>
      <c r="AL108" s="13" t="s">
        <v>110</v>
      </c>
      <c r="AM108" s="13" t="s">
        <v>112</v>
      </c>
      <c r="AN108" s="16"/>
      <c r="AT108" s="13" t="s">
        <v>117</v>
      </c>
      <c r="AW108" s="24"/>
      <c r="BA108" s="45"/>
      <c r="BB108" s="24"/>
      <c r="BC108" s="24">
        <v>0</v>
      </c>
      <c r="BD108" s="24">
        <v>0</v>
      </c>
      <c r="BE108" s="24">
        <f t="shared" si="36"/>
        <v>0</v>
      </c>
      <c r="BF108" s="18">
        <v>0</v>
      </c>
      <c r="BH108" s="20">
        <f t="shared" si="42"/>
        <v>0</v>
      </c>
      <c r="BI108" s="24">
        <f t="shared" si="28"/>
        <v>0</v>
      </c>
      <c r="BJ108" s="18">
        <f t="shared" si="37"/>
        <v>0</v>
      </c>
      <c r="BK108" s="24">
        <f t="shared" si="29"/>
        <v>0</v>
      </c>
      <c r="BL108" s="24">
        <f t="shared" si="47"/>
        <v>0</v>
      </c>
      <c r="BN108" s="24">
        <v>0</v>
      </c>
      <c r="BO108" s="24">
        <v>0</v>
      </c>
      <c r="BP108" s="24">
        <f t="shared" si="39"/>
        <v>0</v>
      </c>
      <c r="BQ108" s="24">
        <v>0</v>
      </c>
      <c r="BR108" s="13" t="s">
        <v>581</v>
      </c>
      <c r="BS108" s="13" t="s">
        <v>169</v>
      </c>
      <c r="BT108" s="13" t="s">
        <v>124</v>
      </c>
      <c r="BW108" s="16"/>
      <c r="BY108" s="13" t="s">
        <v>129</v>
      </c>
      <c r="BZ108" s="24"/>
      <c r="CA108" s="24"/>
      <c r="CB108" s="22"/>
      <c r="CC108" s="33"/>
      <c r="CD108" s="18"/>
      <c r="CE108" s="24"/>
      <c r="CH108" s="13" t="s">
        <v>172</v>
      </c>
      <c r="CI108" s="24"/>
      <c r="CJ108" s="24">
        <f t="shared" si="30"/>
        <v>0</v>
      </c>
      <c r="CK108" s="24"/>
      <c r="CL108" s="24">
        <f t="shared" si="51"/>
        <v>0</v>
      </c>
      <c r="CM108" s="24">
        <v>0</v>
      </c>
      <c r="CN108" s="24">
        <f t="shared" si="33"/>
        <v>0</v>
      </c>
      <c r="CO108" s="24">
        <f t="shared" si="50"/>
        <v>0</v>
      </c>
      <c r="CP108" s="24">
        <v>0</v>
      </c>
      <c r="CQ108" s="24">
        <f t="shared" si="34"/>
        <v>0</v>
      </c>
      <c r="CR108" s="24"/>
      <c r="CT108" s="13" t="s">
        <v>110</v>
      </c>
    </row>
    <row r="109" spans="1:100" s="13" customFormat="1" ht="28.8">
      <c r="A109" s="12" t="s">
        <v>288</v>
      </c>
      <c r="B109" s="13" t="str">
        <f t="shared" si="35"/>
        <v/>
      </c>
      <c r="C109" s="13" t="s">
        <v>571</v>
      </c>
      <c r="D109" s="13" t="s">
        <v>97</v>
      </c>
      <c r="G109" s="14">
        <f t="shared" si="40"/>
        <v>13</v>
      </c>
      <c r="H109" s="15" t="s">
        <v>99</v>
      </c>
      <c r="I109" s="15"/>
      <c r="J109" s="15"/>
      <c r="L109" s="16">
        <v>1620021535</v>
      </c>
      <c r="M109" s="13">
        <f t="shared" si="31"/>
        <v>0</v>
      </c>
      <c r="N109" s="43">
        <v>46239</v>
      </c>
      <c r="O109" s="30"/>
      <c r="P109" s="16" t="s">
        <v>370</v>
      </c>
      <c r="Q109" s="17" t="s">
        <v>824</v>
      </c>
      <c r="R109" s="13" t="s">
        <v>825</v>
      </c>
      <c r="S109" s="13" t="s">
        <v>826</v>
      </c>
      <c r="T109" s="24">
        <v>44</v>
      </c>
      <c r="U109" s="24">
        <v>2640</v>
      </c>
      <c r="V109" s="24">
        <f t="shared" si="32"/>
        <v>116160</v>
      </c>
      <c r="W109" s="24">
        <v>0</v>
      </c>
      <c r="X109" s="18">
        <f t="shared" si="43"/>
        <v>116160</v>
      </c>
      <c r="Y109" s="28"/>
      <c r="AC109" s="13" t="s">
        <v>110</v>
      </c>
      <c r="AD109" s="13" t="s">
        <v>110</v>
      </c>
      <c r="AE109" s="13" t="s">
        <v>110</v>
      </c>
      <c r="AF109" s="13" t="s">
        <v>110</v>
      </c>
      <c r="AG109" s="13" t="s">
        <v>110</v>
      </c>
      <c r="AH109" s="13" t="s">
        <v>110</v>
      </c>
      <c r="AI109" s="13" t="s">
        <v>110</v>
      </c>
      <c r="AJ109" s="13" t="s">
        <v>110</v>
      </c>
      <c r="AL109" s="13" t="s">
        <v>110</v>
      </c>
      <c r="AM109" s="13" t="s">
        <v>112</v>
      </c>
      <c r="AN109" s="16"/>
      <c r="AT109" s="13" t="s">
        <v>117</v>
      </c>
      <c r="AW109" s="24"/>
      <c r="BA109" s="45"/>
      <c r="BB109" s="24"/>
      <c r="BC109" s="24">
        <v>0</v>
      </c>
      <c r="BD109" s="24">
        <v>0</v>
      </c>
      <c r="BE109" s="24">
        <f t="shared" si="36"/>
        <v>0</v>
      </c>
      <c r="BF109" s="18">
        <v>0</v>
      </c>
      <c r="BH109" s="20">
        <f t="shared" si="42"/>
        <v>0</v>
      </c>
      <c r="BI109" s="24">
        <f t="shared" si="28"/>
        <v>0</v>
      </c>
      <c r="BJ109" s="18">
        <f t="shared" si="37"/>
        <v>0</v>
      </c>
      <c r="BK109" s="24">
        <f t="shared" si="29"/>
        <v>0</v>
      </c>
      <c r="BL109" s="24">
        <f t="shared" si="47"/>
        <v>0</v>
      </c>
      <c r="BN109" s="24">
        <v>0</v>
      </c>
      <c r="BO109" s="24">
        <v>0</v>
      </c>
      <c r="BP109" s="24">
        <f t="shared" si="39"/>
        <v>0</v>
      </c>
      <c r="BQ109" s="24">
        <v>0</v>
      </c>
      <c r="BR109" s="13" t="s">
        <v>581</v>
      </c>
      <c r="BS109" s="13" t="s">
        <v>169</v>
      </c>
      <c r="BT109" s="13" t="s">
        <v>124</v>
      </c>
      <c r="BW109" s="16"/>
      <c r="BY109" s="13" t="s">
        <v>129</v>
      </c>
      <c r="BZ109" s="24"/>
      <c r="CA109" s="24"/>
      <c r="CB109" s="22"/>
      <c r="CC109" s="33"/>
      <c r="CD109" s="18"/>
      <c r="CE109" s="24"/>
      <c r="CH109" s="13" t="s">
        <v>172</v>
      </c>
      <c r="CI109" s="24"/>
      <c r="CJ109" s="24">
        <f t="shared" si="30"/>
        <v>0</v>
      </c>
      <c r="CK109" s="24"/>
      <c r="CL109" s="24">
        <f t="shared" si="51"/>
        <v>0</v>
      </c>
      <c r="CM109" s="24">
        <v>0</v>
      </c>
      <c r="CN109" s="24">
        <f t="shared" si="33"/>
        <v>0</v>
      </c>
      <c r="CO109" s="24">
        <f t="shared" si="50"/>
        <v>0</v>
      </c>
      <c r="CP109" s="24">
        <v>0</v>
      </c>
      <c r="CQ109" s="24">
        <f t="shared" si="34"/>
        <v>0</v>
      </c>
      <c r="CR109" s="24"/>
      <c r="CT109" s="13" t="s">
        <v>110</v>
      </c>
    </row>
    <row r="110" spans="1:100" s="13" customFormat="1" ht="28.8">
      <c r="A110" s="12" t="s">
        <v>288</v>
      </c>
      <c r="B110" s="13" t="str">
        <f t="shared" si="35"/>
        <v>700794</v>
      </c>
      <c r="C110" s="13" t="s">
        <v>571</v>
      </c>
      <c r="D110" s="13" t="s">
        <v>97</v>
      </c>
      <c r="E110" s="13" t="s">
        <v>1086</v>
      </c>
      <c r="F110" s="14">
        <v>46321</v>
      </c>
      <c r="G110" s="14">
        <f t="shared" si="40"/>
        <v>46334</v>
      </c>
      <c r="H110" s="15" t="s">
        <v>99</v>
      </c>
      <c r="I110" s="15"/>
      <c r="J110" s="15" t="s">
        <v>172</v>
      </c>
      <c r="K110" s="14">
        <v>46364</v>
      </c>
      <c r="L110" s="16" t="s">
        <v>1087</v>
      </c>
      <c r="M110" s="13">
        <f t="shared" si="31"/>
        <v>1</v>
      </c>
      <c r="N110" s="14">
        <v>46218</v>
      </c>
      <c r="O110" s="27" t="s">
        <v>1088</v>
      </c>
      <c r="P110" s="13" t="s">
        <v>1089</v>
      </c>
      <c r="Q110" s="17" t="s">
        <v>1090</v>
      </c>
      <c r="R110" s="13" t="s">
        <v>1091</v>
      </c>
      <c r="T110" s="24">
        <v>20</v>
      </c>
      <c r="U110" s="24">
        <v>625</v>
      </c>
      <c r="V110" s="24">
        <f t="shared" si="32"/>
        <v>12500</v>
      </c>
      <c r="W110" s="24">
        <v>2500</v>
      </c>
      <c r="X110" s="24">
        <f t="shared" si="43"/>
        <v>10000</v>
      </c>
      <c r="Y110" s="28"/>
      <c r="AA110" s="13" t="s">
        <v>1092</v>
      </c>
      <c r="AC110" s="13" t="s">
        <v>110</v>
      </c>
      <c r="AD110" s="13" t="s">
        <v>110</v>
      </c>
      <c r="AE110" s="13" t="s">
        <v>110</v>
      </c>
      <c r="AF110" s="13" t="s">
        <v>110</v>
      </c>
      <c r="AG110" s="13" t="s">
        <v>110</v>
      </c>
      <c r="AH110" s="13" t="s">
        <v>110</v>
      </c>
      <c r="AI110" s="13" t="s">
        <v>110</v>
      </c>
      <c r="AJ110" s="13" t="s">
        <v>110</v>
      </c>
      <c r="AK110" s="13">
        <v>16982</v>
      </c>
      <c r="AL110" s="13" t="s">
        <v>110</v>
      </c>
      <c r="AM110" s="13" t="s">
        <v>112</v>
      </c>
      <c r="AN110" s="16">
        <v>212028</v>
      </c>
      <c r="AO110" s="13" t="s">
        <v>1093</v>
      </c>
      <c r="AP110" s="13" t="s">
        <v>1094</v>
      </c>
      <c r="AQ110" s="13" t="s">
        <v>165</v>
      </c>
      <c r="AR110" s="13" t="s">
        <v>165</v>
      </c>
      <c r="AS110" s="13">
        <v>72042190</v>
      </c>
      <c r="AU110" s="13" t="s">
        <v>1095</v>
      </c>
      <c r="AV110" s="16" t="s">
        <v>119</v>
      </c>
      <c r="AW110" s="24">
        <v>800</v>
      </c>
      <c r="AX110" s="13" t="s">
        <v>1096</v>
      </c>
      <c r="AY110" s="13" t="s">
        <v>1097</v>
      </c>
      <c r="AZ110" s="14">
        <v>46303</v>
      </c>
      <c r="BA110" s="45">
        <v>16982</v>
      </c>
      <c r="BB110" s="24">
        <v>620</v>
      </c>
      <c r="BC110" s="24">
        <v>0</v>
      </c>
      <c r="BD110" s="24">
        <v>0</v>
      </c>
      <c r="BE110" s="24">
        <f t="shared" si="36"/>
        <v>10528840</v>
      </c>
      <c r="BF110" s="18">
        <v>0</v>
      </c>
      <c r="BH110" s="20">
        <f t="shared" si="42"/>
        <v>10528840</v>
      </c>
      <c r="BI110" s="24">
        <f t="shared" si="28"/>
        <v>1031826320</v>
      </c>
      <c r="BJ110" s="18">
        <f t="shared" si="37"/>
        <v>10528840</v>
      </c>
      <c r="BK110" s="24">
        <f t="shared" si="29"/>
        <v>1032015652.8486875</v>
      </c>
      <c r="BL110" s="24">
        <f t="shared" si="47"/>
        <v>0</v>
      </c>
      <c r="BN110" s="24">
        <v>0</v>
      </c>
      <c r="BO110" s="24">
        <v>0</v>
      </c>
      <c r="BP110" s="24">
        <f t="shared" si="39"/>
        <v>0</v>
      </c>
      <c r="BQ110" s="24"/>
      <c r="BR110" s="13" t="s">
        <v>581</v>
      </c>
      <c r="BS110" s="13" t="s">
        <v>169</v>
      </c>
      <c r="BT110" s="13" t="s">
        <v>124</v>
      </c>
      <c r="BU110" s="13" t="s">
        <v>1098</v>
      </c>
      <c r="BV110" s="60" t="s">
        <v>982</v>
      </c>
      <c r="BW110" s="16" t="s">
        <v>982</v>
      </c>
      <c r="BY110" s="13" t="s">
        <v>380</v>
      </c>
      <c r="BZ110" s="24"/>
      <c r="CA110" s="24"/>
      <c r="CB110" s="22" t="s">
        <v>110</v>
      </c>
      <c r="CC110" s="33" t="s">
        <v>110</v>
      </c>
      <c r="CD110" s="18" t="s">
        <v>110</v>
      </c>
      <c r="CE110" s="24" t="s">
        <v>124</v>
      </c>
      <c r="CF110" s="13" t="s">
        <v>124</v>
      </c>
      <c r="CH110" s="13" t="s">
        <v>172</v>
      </c>
      <c r="CI110" s="24"/>
      <c r="CJ110" s="24">
        <f t="shared" si="30"/>
        <v>189332.84868749999</v>
      </c>
      <c r="CK110" s="24"/>
      <c r="CL110" s="24">
        <f t="shared" si="51"/>
        <v>0</v>
      </c>
      <c r="CM110" s="24">
        <v>0</v>
      </c>
      <c r="CN110" s="24">
        <f t="shared" si="33"/>
        <v>0</v>
      </c>
      <c r="CO110" s="24">
        <f t="shared" si="50"/>
        <v>0</v>
      </c>
      <c r="CP110" s="24">
        <v>0</v>
      </c>
      <c r="CQ110" s="24">
        <f t="shared" si="34"/>
        <v>0</v>
      </c>
      <c r="CR110" s="24"/>
      <c r="CT110" s="13" t="s">
        <v>110</v>
      </c>
    </row>
    <row r="111" spans="1:100" s="13" customFormat="1" ht="86.4">
      <c r="A111" s="12" t="s">
        <v>288</v>
      </c>
      <c r="B111" s="13" t="str">
        <f t="shared" si="35"/>
        <v>066602</v>
      </c>
      <c r="C111" s="13" t="s">
        <v>571</v>
      </c>
      <c r="D111" s="13" t="s">
        <v>97</v>
      </c>
      <c r="E111" s="13" t="s">
        <v>1099</v>
      </c>
      <c r="F111" s="14">
        <v>46277</v>
      </c>
      <c r="G111" s="14">
        <f t="shared" si="40"/>
        <v>46290</v>
      </c>
      <c r="H111" s="15" t="s">
        <v>99</v>
      </c>
      <c r="I111" s="15" t="s">
        <v>100</v>
      </c>
      <c r="J111" s="15" t="s">
        <v>100</v>
      </c>
      <c r="K111" s="14">
        <v>46254</v>
      </c>
      <c r="L111" s="16" t="s">
        <v>1100</v>
      </c>
      <c r="M111" s="13">
        <f t="shared" si="31"/>
        <v>0</v>
      </c>
      <c r="N111" s="14">
        <v>46218</v>
      </c>
      <c r="O111" s="27" t="s">
        <v>1101</v>
      </c>
      <c r="P111" s="13" t="s">
        <v>1102</v>
      </c>
      <c r="Q111" s="17" t="s">
        <v>1103</v>
      </c>
      <c r="R111" s="13" t="s">
        <v>1104</v>
      </c>
      <c r="T111" s="24">
        <v>75</v>
      </c>
      <c r="U111" s="24">
        <v>800</v>
      </c>
      <c r="V111" s="24">
        <f t="shared" si="32"/>
        <v>60000</v>
      </c>
      <c r="W111" s="24">
        <v>12000</v>
      </c>
      <c r="X111" s="24">
        <f t="shared" si="43"/>
        <v>48000</v>
      </c>
      <c r="Y111" s="13" t="s">
        <v>110</v>
      </c>
      <c r="Z111" s="13" t="s">
        <v>110</v>
      </c>
      <c r="AA111" s="13" t="s">
        <v>1105</v>
      </c>
      <c r="AB111" s="13">
        <v>25.12</v>
      </c>
      <c r="AC111" s="13" t="s">
        <v>1106</v>
      </c>
      <c r="AD111" s="13">
        <v>25.05</v>
      </c>
      <c r="AE111" s="13" t="s">
        <v>1107</v>
      </c>
      <c r="AF111" s="13">
        <v>25.76</v>
      </c>
      <c r="AG111" s="13" t="s">
        <v>110</v>
      </c>
      <c r="AH111" s="13" t="s">
        <v>110</v>
      </c>
      <c r="AI111" s="13" t="s">
        <v>110</v>
      </c>
      <c r="AJ111" s="13" t="s">
        <v>110</v>
      </c>
      <c r="AL111" s="13" t="s">
        <v>110</v>
      </c>
      <c r="AM111" s="13" t="s">
        <v>246</v>
      </c>
      <c r="AN111" s="16" t="s">
        <v>1108</v>
      </c>
      <c r="AO111" s="16" t="s">
        <v>1109</v>
      </c>
      <c r="AP111" s="13" t="s">
        <v>1110</v>
      </c>
      <c r="AQ111" s="13" t="s">
        <v>165</v>
      </c>
      <c r="AR111" s="13" t="s">
        <v>165</v>
      </c>
      <c r="AS111" s="13">
        <v>72042190</v>
      </c>
      <c r="AU111" s="13" t="s">
        <v>1111</v>
      </c>
      <c r="AV111" s="16" t="s">
        <v>119</v>
      </c>
      <c r="AW111" s="24">
        <v>800</v>
      </c>
      <c r="AX111" s="13" t="s">
        <v>1112</v>
      </c>
      <c r="AY111" s="13" t="s">
        <v>1113</v>
      </c>
      <c r="AZ111" s="27">
        <v>46246</v>
      </c>
      <c r="BA111" s="45">
        <v>75.930000000000007</v>
      </c>
      <c r="BB111" s="24">
        <v>800</v>
      </c>
      <c r="BC111" s="24">
        <v>96.614999999999995</v>
      </c>
      <c r="BD111" s="24">
        <v>95.64</v>
      </c>
      <c r="BE111" s="24">
        <f t="shared" si="36"/>
        <v>60744.000000000007</v>
      </c>
      <c r="BF111" s="18">
        <v>12000</v>
      </c>
      <c r="BG111" s="14">
        <v>46226</v>
      </c>
      <c r="BH111" s="24">
        <f>BE111-BF111</f>
        <v>48744.000000000007</v>
      </c>
      <c r="BI111" s="24">
        <f t="shared" si="28"/>
        <v>4776912.0000000009</v>
      </c>
      <c r="BJ111" s="18">
        <f t="shared" si="37"/>
        <v>48744.000000000007</v>
      </c>
      <c r="BK111" s="24">
        <f t="shared" si="29"/>
        <v>4776912.0000000009</v>
      </c>
      <c r="BL111" s="24">
        <f t="shared" si="47"/>
        <v>4661876.1600000011</v>
      </c>
      <c r="BM111" s="14">
        <v>46280</v>
      </c>
      <c r="BN111" s="24">
        <f>BF111</f>
        <v>12000</v>
      </c>
      <c r="BO111" s="24">
        <f>BN111*BC111</f>
        <v>1159380</v>
      </c>
      <c r="BP111" s="24">
        <f t="shared" si="39"/>
        <v>0</v>
      </c>
      <c r="BQ111" s="24">
        <f>5659.38+2316.68</f>
        <v>7976.0599999999995</v>
      </c>
      <c r="BR111" s="13" t="s">
        <v>122</v>
      </c>
      <c r="BS111" s="13" t="s">
        <v>169</v>
      </c>
      <c r="BT111" s="13" t="s">
        <v>124</v>
      </c>
      <c r="BU111" s="13" t="s">
        <v>929</v>
      </c>
      <c r="BV111" s="16" t="s">
        <v>982</v>
      </c>
      <c r="BW111" s="16" t="s">
        <v>982</v>
      </c>
      <c r="BX111" s="13" t="s">
        <v>124</v>
      </c>
      <c r="BY111" s="13" t="s">
        <v>129</v>
      </c>
      <c r="BZ111" s="24">
        <v>108010</v>
      </c>
      <c r="CA111" s="18" t="s">
        <v>130</v>
      </c>
      <c r="CB111" s="22" t="s">
        <v>110</v>
      </c>
      <c r="CC111" s="33" t="s">
        <v>110</v>
      </c>
      <c r="CD111" s="18" t="s">
        <v>110</v>
      </c>
      <c r="CE111" s="24" t="s">
        <v>124</v>
      </c>
      <c r="CF111" s="13" t="s">
        <v>124</v>
      </c>
      <c r="CG111" s="13">
        <v>3734160</v>
      </c>
      <c r="CH111" s="13" t="s">
        <v>172</v>
      </c>
      <c r="CI111" s="24">
        <v>95.25</v>
      </c>
      <c r="CJ111" s="24">
        <f t="shared" si="30"/>
        <v>0</v>
      </c>
      <c r="CK111" s="24">
        <v>60744</v>
      </c>
      <c r="CL111" s="24">
        <f t="shared" si="51"/>
        <v>5785866</v>
      </c>
      <c r="CM111" s="24">
        <v>0</v>
      </c>
      <c r="CN111" s="24">
        <f t="shared" si="33"/>
        <v>5785866</v>
      </c>
      <c r="CO111" s="24">
        <f t="shared" si="50"/>
        <v>1041456</v>
      </c>
      <c r="CP111" s="24">
        <v>0</v>
      </c>
      <c r="CQ111" s="24">
        <f t="shared" si="34"/>
        <v>1041456</v>
      </c>
      <c r="CR111" s="24"/>
      <c r="CS111" s="14">
        <v>46283</v>
      </c>
      <c r="CT111" s="13" t="s">
        <v>110</v>
      </c>
      <c r="CU111" s="13" t="s">
        <v>1114</v>
      </c>
      <c r="CV111" s="16" t="s">
        <v>261</v>
      </c>
    </row>
    <row r="112" spans="1:100" s="13" customFormat="1" ht="129.6">
      <c r="A112" s="12" t="s">
        <v>288</v>
      </c>
      <c r="B112" s="13" t="str">
        <f t="shared" si="35"/>
        <v>105636</v>
      </c>
      <c r="C112" s="13" t="s">
        <v>96</v>
      </c>
      <c r="D112" s="13" t="s">
        <v>97</v>
      </c>
      <c r="E112" s="13" t="s">
        <v>1115</v>
      </c>
      <c r="F112" s="14">
        <v>46243</v>
      </c>
      <c r="G112" s="14">
        <v>46256</v>
      </c>
      <c r="H112" s="15" t="s">
        <v>99</v>
      </c>
      <c r="I112" s="15" t="s">
        <v>100</v>
      </c>
      <c r="J112" s="15" t="s">
        <v>100</v>
      </c>
      <c r="K112" s="14">
        <v>46218</v>
      </c>
      <c r="L112" s="13" t="s">
        <v>110</v>
      </c>
      <c r="M112" s="13">
        <f t="shared" si="31"/>
        <v>1</v>
      </c>
      <c r="N112" s="13" t="s">
        <v>110</v>
      </c>
      <c r="O112" s="16" t="s">
        <v>864</v>
      </c>
      <c r="P112" s="13" t="s">
        <v>864</v>
      </c>
      <c r="Q112" s="17" t="s">
        <v>1116</v>
      </c>
      <c r="R112" s="16" t="s">
        <v>1117</v>
      </c>
      <c r="S112" s="16" t="s">
        <v>1118</v>
      </c>
      <c r="T112" s="13">
        <v>16.431000000000001</v>
      </c>
      <c r="U112" s="24">
        <v>4468.92</v>
      </c>
      <c r="V112" s="24">
        <f t="shared" si="32"/>
        <v>73428.824520000009</v>
      </c>
      <c r="W112" s="24">
        <v>0</v>
      </c>
      <c r="X112" s="24">
        <f t="shared" si="43"/>
        <v>73428.824520000009</v>
      </c>
      <c r="Y112" s="13" t="s">
        <v>110</v>
      </c>
      <c r="Z112" s="13" t="s">
        <v>110</v>
      </c>
      <c r="AA112" s="13" t="s">
        <v>1119</v>
      </c>
      <c r="AB112" s="13">
        <v>16.431000000000001</v>
      </c>
      <c r="AC112" s="13" t="s">
        <v>110</v>
      </c>
      <c r="AD112" s="13" t="s">
        <v>110</v>
      </c>
      <c r="AE112" s="13" t="s">
        <v>110</v>
      </c>
      <c r="AF112" s="13" t="s">
        <v>110</v>
      </c>
      <c r="AG112" s="13" t="s">
        <v>110</v>
      </c>
      <c r="AH112" s="13" t="s">
        <v>110</v>
      </c>
      <c r="AI112" s="13" t="s">
        <v>110</v>
      </c>
      <c r="AJ112" s="13" t="s">
        <v>110</v>
      </c>
      <c r="AK112" s="13">
        <v>16434</v>
      </c>
      <c r="AL112" s="13" t="s">
        <v>110</v>
      </c>
      <c r="AM112" s="13" t="s">
        <v>112</v>
      </c>
      <c r="AN112" s="16">
        <v>1132982</v>
      </c>
      <c r="AO112" s="13" t="s">
        <v>1120</v>
      </c>
      <c r="AP112" s="13" t="s">
        <v>870</v>
      </c>
      <c r="AQ112" s="13" t="s">
        <v>1077</v>
      </c>
      <c r="AR112" s="13" t="s">
        <v>1077</v>
      </c>
      <c r="AS112" s="16" t="s">
        <v>166</v>
      </c>
      <c r="AU112" s="13" t="s">
        <v>1121</v>
      </c>
      <c r="AV112" s="13" t="s">
        <v>119</v>
      </c>
      <c r="AW112" s="24">
        <v>800</v>
      </c>
      <c r="AX112" s="13" t="s">
        <v>1122</v>
      </c>
      <c r="AY112" s="13" t="s">
        <v>1123</v>
      </c>
      <c r="AZ112" s="14">
        <v>46233</v>
      </c>
      <c r="BA112" s="45">
        <v>16.434000000000001</v>
      </c>
      <c r="BB112" s="24">
        <f>((7.645*7120)+(8.789*2163.82))/(16.434)</f>
        <v>4469.4057429718869</v>
      </c>
      <c r="BC112" s="24">
        <v>0</v>
      </c>
      <c r="BD112" s="24">
        <v>95.542500000000004</v>
      </c>
      <c r="BE112" s="24">
        <f t="shared" si="36"/>
        <v>73450.21398</v>
      </c>
      <c r="BF112" s="18">
        <v>0</v>
      </c>
      <c r="BG112" s="13" t="s">
        <v>110</v>
      </c>
      <c r="BH112" s="20">
        <f t="shared" si="42"/>
        <v>73450.21398</v>
      </c>
      <c r="BI112" s="24">
        <f t="shared" si="28"/>
        <v>7198120.97004</v>
      </c>
      <c r="BJ112" s="18">
        <f t="shared" si="37"/>
        <v>73450.21398</v>
      </c>
      <c r="BK112" s="24">
        <f t="shared" si="29"/>
        <v>8508216.5406167153</v>
      </c>
      <c r="BL112" s="24">
        <f t="shared" si="47"/>
        <v>7017617.0691841505</v>
      </c>
      <c r="BM112" s="14">
        <v>46245</v>
      </c>
      <c r="BN112" s="24">
        <v>0</v>
      </c>
      <c r="BO112" s="24">
        <v>0</v>
      </c>
      <c r="BP112" s="24">
        <f t="shared" si="39"/>
        <v>0</v>
      </c>
      <c r="BQ112" s="24">
        <f>11517.62+3371.18</f>
        <v>14888.800000000001</v>
      </c>
      <c r="BR112" s="13" t="s">
        <v>122</v>
      </c>
      <c r="BS112" s="13" t="s">
        <v>169</v>
      </c>
      <c r="BT112" s="13" t="s">
        <v>124</v>
      </c>
      <c r="BU112" s="16" t="s">
        <v>874</v>
      </c>
      <c r="BV112" s="16" t="s">
        <v>354</v>
      </c>
      <c r="BW112" s="16" t="s">
        <v>355</v>
      </c>
      <c r="BX112" s="13">
        <v>244</v>
      </c>
      <c r="BY112" s="13" t="s">
        <v>124</v>
      </c>
      <c r="BZ112" s="24">
        <f>500+19020</f>
        <v>19520</v>
      </c>
      <c r="CA112" s="18" t="s">
        <v>130</v>
      </c>
      <c r="CB112" s="22" t="s">
        <v>110</v>
      </c>
      <c r="CC112" s="33" t="s">
        <v>110</v>
      </c>
      <c r="CD112" s="18" t="s">
        <v>110</v>
      </c>
      <c r="CE112" s="24" t="s">
        <v>124</v>
      </c>
      <c r="CF112" s="13" t="s">
        <v>124</v>
      </c>
      <c r="CG112" s="13">
        <v>2997905</v>
      </c>
      <c r="CH112" s="13" t="s">
        <v>100</v>
      </c>
      <c r="CI112" s="24">
        <v>96.05</v>
      </c>
      <c r="CJ112" s="24">
        <f t="shared" si="30"/>
        <v>1310095.570576716</v>
      </c>
      <c r="CK112" s="24">
        <f>54432.4+19017.87</f>
        <v>73450.27</v>
      </c>
      <c r="CL112" s="24">
        <f t="shared" ref="CL112:CL113" si="52">ROUND(CK112*CI112,0)</f>
        <v>7054898</v>
      </c>
      <c r="CM112" s="24">
        <v>0</v>
      </c>
      <c r="CN112" s="24">
        <v>7134266</v>
      </c>
      <c r="CO112" s="24">
        <f t="shared" si="50"/>
        <v>1284168</v>
      </c>
      <c r="CP112" s="24">
        <v>1583</v>
      </c>
      <c r="CQ112" s="24">
        <f t="shared" si="34"/>
        <v>1285751</v>
      </c>
      <c r="CR112" s="24">
        <f>14500+10800+8000+177+8420+2360+400+56</f>
        <v>44713</v>
      </c>
      <c r="CS112" s="14">
        <v>46247</v>
      </c>
      <c r="CT112" s="13" t="s">
        <v>110</v>
      </c>
      <c r="CU112" s="13" t="s">
        <v>1124</v>
      </c>
    </row>
    <row r="113" spans="1:100" s="13" customFormat="1" ht="75" customHeight="1">
      <c r="A113" s="12" t="s">
        <v>288</v>
      </c>
      <c r="B113" s="13" t="str">
        <f t="shared" si="35"/>
        <v>304044</v>
      </c>
      <c r="C113" s="13" t="s">
        <v>96</v>
      </c>
      <c r="D113" s="13" t="s">
        <v>97</v>
      </c>
      <c r="E113" s="13" t="s">
        <v>1125</v>
      </c>
      <c r="F113" s="14">
        <v>46251</v>
      </c>
      <c r="G113" s="14">
        <v>46264</v>
      </c>
      <c r="H113" s="15" t="s">
        <v>99</v>
      </c>
      <c r="I113" s="15" t="s">
        <v>100</v>
      </c>
      <c r="J113" s="15" t="s">
        <v>100</v>
      </c>
      <c r="K113" s="14">
        <v>46228</v>
      </c>
      <c r="L113" s="13" t="s">
        <v>110</v>
      </c>
      <c r="M113" s="13">
        <f t="shared" si="31"/>
        <v>1</v>
      </c>
      <c r="N113" s="13" t="s">
        <v>110</v>
      </c>
      <c r="O113" s="16" t="s">
        <v>864</v>
      </c>
      <c r="P113" s="13" t="s">
        <v>864</v>
      </c>
      <c r="Q113" s="17" t="s">
        <v>1126</v>
      </c>
      <c r="R113" s="16" t="s">
        <v>1127</v>
      </c>
      <c r="S113" s="16" t="s">
        <v>1128</v>
      </c>
      <c r="T113" s="13">
        <v>16.22</v>
      </c>
      <c r="U113" s="24">
        <v>8373.4</v>
      </c>
      <c r="V113" s="24">
        <f t="shared" si="32"/>
        <v>135816.54799999998</v>
      </c>
      <c r="W113" s="24">
        <v>0</v>
      </c>
      <c r="X113" s="24">
        <f t="shared" si="43"/>
        <v>135816.54799999998</v>
      </c>
      <c r="Y113" s="13" t="s">
        <v>110</v>
      </c>
      <c r="Z113" s="13" t="s">
        <v>110</v>
      </c>
      <c r="AA113" s="13" t="s">
        <v>1129</v>
      </c>
      <c r="AB113" s="13">
        <v>16.22</v>
      </c>
      <c r="AC113" s="13" t="s">
        <v>110</v>
      </c>
      <c r="AD113" s="13" t="s">
        <v>110</v>
      </c>
      <c r="AE113" s="13" t="s">
        <v>110</v>
      </c>
      <c r="AF113" s="13" t="s">
        <v>110</v>
      </c>
      <c r="AG113" s="13" t="s">
        <v>110</v>
      </c>
      <c r="AH113" s="13" t="s">
        <v>110</v>
      </c>
      <c r="AI113" s="13" t="s">
        <v>110</v>
      </c>
      <c r="AJ113" s="13" t="s">
        <v>110</v>
      </c>
      <c r="AK113" s="13">
        <v>16220</v>
      </c>
      <c r="AL113" s="13" t="s">
        <v>110</v>
      </c>
      <c r="AM113" s="13" t="s">
        <v>112</v>
      </c>
      <c r="AN113" s="16">
        <v>1133535</v>
      </c>
      <c r="AO113" s="16" t="s">
        <v>1130</v>
      </c>
      <c r="AP113" s="13" t="s">
        <v>870</v>
      </c>
      <c r="AQ113" s="13" t="s">
        <v>1077</v>
      </c>
      <c r="AR113" s="13" t="s">
        <v>1077</v>
      </c>
      <c r="AS113" s="16">
        <v>75030010</v>
      </c>
      <c r="AU113" s="13" t="s">
        <v>1131</v>
      </c>
      <c r="AV113" s="24">
        <v>0</v>
      </c>
      <c r="AW113" s="24">
        <v>0</v>
      </c>
      <c r="AX113" s="13" t="s">
        <v>110</v>
      </c>
      <c r="AY113" s="13" t="s">
        <v>1132</v>
      </c>
      <c r="AZ113" s="14">
        <v>46233</v>
      </c>
      <c r="BA113" s="45">
        <v>16.22</v>
      </c>
      <c r="BB113" s="24">
        <v>8373.4</v>
      </c>
      <c r="BC113" s="24">
        <v>0</v>
      </c>
      <c r="BD113" s="24">
        <v>96.05</v>
      </c>
      <c r="BE113" s="24">
        <f t="shared" si="36"/>
        <v>135816.54799999998</v>
      </c>
      <c r="BF113" s="18">
        <v>0</v>
      </c>
      <c r="BG113" s="13" t="s">
        <v>110</v>
      </c>
      <c r="BH113" s="20">
        <f t="shared" si="42"/>
        <v>135816.54799999998</v>
      </c>
      <c r="BI113" s="24">
        <f t="shared" si="28"/>
        <v>13310021.703999998</v>
      </c>
      <c r="BJ113" s="18">
        <f t="shared" si="37"/>
        <v>135816.54799999998</v>
      </c>
      <c r="BK113" s="24">
        <f t="shared" si="29"/>
        <v>15732778.404670598</v>
      </c>
      <c r="BL113" s="24">
        <f t="shared" si="47"/>
        <v>13045179.435399998</v>
      </c>
      <c r="BM113" s="14">
        <v>46252</v>
      </c>
      <c r="BN113" s="24">
        <v>0</v>
      </c>
      <c r="BO113" s="24">
        <v>0</v>
      </c>
      <c r="BP113" s="24">
        <f t="shared" si="39"/>
        <v>0</v>
      </c>
      <c r="BQ113" s="24">
        <f>17477.74+4444</f>
        <v>21921.74</v>
      </c>
      <c r="BR113" s="13" t="s">
        <v>122</v>
      </c>
      <c r="BS113" s="13" t="s">
        <v>169</v>
      </c>
      <c r="BT113" s="13" t="s">
        <v>124</v>
      </c>
      <c r="BU113" s="13" t="s">
        <v>1133</v>
      </c>
      <c r="BV113" s="13" t="s">
        <v>965</v>
      </c>
      <c r="BW113" s="16" t="s">
        <v>127</v>
      </c>
      <c r="BX113" s="13" t="s">
        <v>1134</v>
      </c>
      <c r="BY113" s="13" t="s">
        <v>124</v>
      </c>
      <c r="BZ113" s="24">
        <f>7500+18000+3000</f>
        <v>28500</v>
      </c>
      <c r="CA113" s="18" t="s">
        <v>130</v>
      </c>
      <c r="CB113" s="22" t="s">
        <v>110</v>
      </c>
      <c r="CC113" s="33" t="s">
        <v>110</v>
      </c>
      <c r="CD113" s="18" t="s">
        <v>110</v>
      </c>
      <c r="CE113" s="24" t="s">
        <v>124</v>
      </c>
      <c r="CF113" s="13" t="s">
        <v>124</v>
      </c>
      <c r="CG113" s="13">
        <v>3163682</v>
      </c>
      <c r="CH113" s="13" t="s">
        <v>100</v>
      </c>
      <c r="CI113" s="24">
        <v>96.05</v>
      </c>
      <c r="CJ113" s="24">
        <f t="shared" si="30"/>
        <v>2422756.7006705999</v>
      </c>
      <c r="CK113" s="24">
        <v>135816.54999999999</v>
      </c>
      <c r="CL113" s="24">
        <f t="shared" si="52"/>
        <v>13045180</v>
      </c>
      <c r="CM113" s="24">
        <v>0</v>
      </c>
      <c r="CN113" s="24">
        <v>13191938</v>
      </c>
      <c r="CO113" s="24">
        <f t="shared" si="50"/>
        <v>2374549</v>
      </c>
      <c r="CP113" s="24">
        <v>4879</v>
      </c>
      <c r="CQ113" s="24">
        <f t="shared" si="34"/>
        <v>2379428</v>
      </c>
      <c r="CR113" s="24">
        <f>13000+3000+800+300+8500+11500+800+750+15570</f>
        <v>54220</v>
      </c>
      <c r="CS113" s="14">
        <v>46257</v>
      </c>
      <c r="CT113" s="13" t="s">
        <v>110</v>
      </c>
      <c r="CU113" s="13" t="s">
        <v>1135</v>
      </c>
    </row>
    <row r="114" spans="1:100" s="13" customFormat="1" ht="43.2">
      <c r="A114" s="12" t="s">
        <v>288</v>
      </c>
      <c r="B114" s="13" t="str">
        <f t="shared" si="35"/>
        <v>480017</v>
      </c>
      <c r="C114" s="13" t="s">
        <v>571</v>
      </c>
      <c r="D114" s="13" t="s">
        <v>97</v>
      </c>
      <c r="E114" s="13">
        <v>275480017</v>
      </c>
      <c r="F114" s="14">
        <v>46280</v>
      </c>
      <c r="G114" s="43">
        <f>F114+13</f>
        <v>46293</v>
      </c>
      <c r="H114" s="15" t="s">
        <v>99</v>
      </c>
      <c r="I114" s="15" t="s">
        <v>172</v>
      </c>
      <c r="J114" s="15" t="s">
        <v>172</v>
      </c>
      <c r="K114" s="14">
        <v>46259</v>
      </c>
      <c r="L114" s="13">
        <v>1620021539</v>
      </c>
      <c r="M114" s="13">
        <f t="shared" si="31"/>
        <v>1</v>
      </c>
      <c r="N114" s="14">
        <v>46240</v>
      </c>
      <c r="O114" s="27" t="s">
        <v>101</v>
      </c>
      <c r="P114" s="16" t="s">
        <v>102</v>
      </c>
      <c r="Q114" s="17" t="s">
        <v>1136</v>
      </c>
      <c r="R114" s="13" t="s">
        <v>291</v>
      </c>
      <c r="S114" s="13" t="s">
        <v>292</v>
      </c>
      <c r="T114" s="24">
        <v>72</v>
      </c>
      <c r="U114" s="24">
        <v>970</v>
      </c>
      <c r="V114" s="24">
        <f t="shared" si="32"/>
        <v>69840</v>
      </c>
      <c r="W114" s="24">
        <v>0</v>
      </c>
      <c r="X114" s="24">
        <f t="shared" si="43"/>
        <v>69840</v>
      </c>
      <c r="Y114" s="19" t="s">
        <v>1137</v>
      </c>
      <c r="Z114" s="14">
        <v>46243</v>
      </c>
      <c r="AA114" s="13" t="s">
        <v>1138</v>
      </c>
      <c r="AB114" s="13">
        <v>23.936</v>
      </c>
      <c r="AC114" s="13" t="s">
        <v>1139</v>
      </c>
      <c r="AD114" s="41">
        <v>23.936</v>
      </c>
      <c r="AE114" s="13" t="s">
        <v>110</v>
      </c>
      <c r="AF114" s="13" t="s">
        <v>110</v>
      </c>
      <c r="AG114" s="13" t="s">
        <v>110</v>
      </c>
      <c r="AH114" s="13" t="s">
        <v>110</v>
      </c>
      <c r="AI114" s="13" t="s">
        <v>110</v>
      </c>
      <c r="AJ114" s="13" t="s">
        <v>110</v>
      </c>
      <c r="AK114" s="13">
        <v>24000</v>
      </c>
      <c r="AL114" s="16" t="s">
        <v>1140</v>
      </c>
      <c r="AM114" s="13" t="s">
        <v>246</v>
      </c>
      <c r="AN114" s="16">
        <v>20912</v>
      </c>
      <c r="AO114" s="13" t="s">
        <v>1141</v>
      </c>
      <c r="AP114" s="13" t="s">
        <v>115</v>
      </c>
      <c r="AQ114" s="13" t="s">
        <v>1077</v>
      </c>
      <c r="AR114" s="13" t="s">
        <v>1077</v>
      </c>
      <c r="AS114" s="13">
        <v>72042190</v>
      </c>
      <c r="AT114" s="13" t="s">
        <v>117</v>
      </c>
      <c r="AV114" s="16" t="s">
        <v>119</v>
      </c>
      <c r="AW114" s="24">
        <v>800</v>
      </c>
      <c r="AX114" s="13" t="s">
        <v>1142</v>
      </c>
      <c r="AY114" s="13">
        <v>9000103591</v>
      </c>
      <c r="AZ114" s="14">
        <v>46259</v>
      </c>
      <c r="BA114" s="45">
        <v>23.936</v>
      </c>
      <c r="BB114" s="24">
        <v>970</v>
      </c>
      <c r="BC114" s="24">
        <v>0</v>
      </c>
      <c r="BD114" s="24">
        <v>95.94</v>
      </c>
      <c r="BE114" s="24">
        <f t="shared" si="36"/>
        <v>23217.919999999998</v>
      </c>
      <c r="BF114" s="18">
        <v>0</v>
      </c>
      <c r="BG114" s="13" t="s">
        <v>110</v>
      </c>
      <c r="BH114" s="20">
        <f t="shared" si="42"/>
        <v>23217.919999999998</v>
      </c>
      <c r="BI114" s="24">
        <f t="shared" si="28"/>
        <v>2275356.1599999997</v>
      </c>
      <c r="BJ114" s="18">
        <f t="shared" si="37"/>
        <v>23217.919999999998</v>
      </c>
      <c r="BK114" s="24">
        <f t="shared" si="29"/>
        <v>2690635.2759999996</v>
      </c>
      <c r="BL114" s="24">
        <f t="shared" si="47"/>
        <v>2227527.2448</v>
      </c>
      <c r="BM114" s="14">
        <v>46281</v>
      </c>
      <c r="BN114" s="24">
        <v>0</v>
      </c>
      <c r="BO114" s="24">
        <v>0</v>
      </c>
      <c r="BP114" s="24">
        <f t="shared" si="39"/>
        <v>0</v>
      </c>
      <c r="BQ114" s="24"/>
      <c r="BR114" s="13" t="s">
        <v>581</v>
      </c>
      <c r="BS114" s="13" t="s">
        <v>169</v>
      </c>
      <c r="BT114" s="13" t="s">
        <v>124</v>
      </c>
      <c r="BU114" s="13" t="s">
        <v>222</v>
      </c>
      <c r="BV114" s="13" t="s">
        <v>354</v>
      </c>
      <c r="BW114" s="16" t="s">
        <v>355</v>
      </c>
      <c r="BY114" s="13" t="s">
        <v>124</v>
      </c>
      <c r="BZ114" s="24">
        <v>30910</v>
      </c>
      <c r="CA114" s="18" t="s">
        <v>1143</v>
      </c>
      <c r="CB114" s="22" t="s">
        <v>110</v>
      </c>
      <c r="CC114" s="33" t="s">
        <v>110</v>
      </c>
      <c r="CD114" s="18" t="s">
        <v>110</v>
      </c>
      <c r="CE114" s="24" t="s">
        <v>124</v>
      </c>
      <c r="CF114" s="13" t="s">
        <v>124</v>
      </c>
      <c r="CH114" s="13" t="s">
        <v>172</v>
      </c>
      <c r="CI114" s="24"/>
      <c r="CJ114" s="24">
        <f t="shared" si="30"/>
        <v>415279.11600000004</v>
      </c>
      <c r="CK114" s="24"/>
      <c r="CL114" s="24">
        <f t="shared" ref="CL114:CL127" si="53">ROUND(((CK114*CI114)),0)</f>
        <v>0</v>
      </c>
      <c r="CM114" s="24">
        <v>0</v>
      </c>
      <c r="CN114" s="18">
        <f t="shared" ref="CN114:CN127" si="54">CL114+CM114</f>
        <v>0</v>
      </c>
      <c r="CO114" s="24">
        <f t="shared" si="50"/>
        <v>0</v>
      </c>
      <c r="CP114" s="24">
        <v>0</v>
      </c>
      <c r="CQ114" s="24">
        <f t="shared" si="34"/>
        <v>0</v>
      </c>
      <c r="CR114" s="24"/>
      <c r="CT114" s="13" t="s">
        <v>110</v>
      </c>
      <c r="CU114" s="13" t="s">
        <v>1144</v>
      </c>
    </row>
    <row r="115" spans="1:100" s="13" customFormat="1" ht="86.4">
      <c r="A115" s="12" t="s">
        <v>288</v>
      </c>
      <c r="B115" s="13" t="str">
        <f t="shared" si="35"/>
        <v>475480</v>
      </c>
      <c r="C115" s="13" t="s">
        <v>96</v>
      </c>
      <c r="D115" s="13" t="s">
        <v>97</v>
      </c>
      <c r="E115" s="13">
        <v>275475480</v>
      </c>
      <c r="F115" s="14">
        <v>46280</v>
      </c>
      <c r="G115" s="43">
        <f>F115+13</f>
        <v>46293</v>
      </c>
      <c r="H115" s="15" t="s">
        <v>99</v>
      </c>
      <c r="I115" s="15" t="s">
        <v>100</v>
      </c>
      <c r="J115" s="15" t="s">
        <v>100</v>
      </c>
      <c r="K115" s="14">
        <v>46259</v>
      </c>
      <c r="L115" s="13">
        <v>1620021539</v>
      </c>
      <c r="M115" s="13">
        <f t="shared" si="31"/>
        <v>1</v>
      </c>
      <c r="N115" s="14">
        <v>46240</v>
      </c>
      <c r="O115" s="27" t="s">
        <v>101</v>
      </c>
      <c r="P115" s="16" t="s">
        <v>102</v>
      </c>
      <c r="Q115" s="17" t="s">
        <v>1136</v>
      </c>
      <c r="R115" s="13" t="s">
        <v>291</v>
      </c>
      <c r="S115" s="13" t="s">
        <v>292</v>
      </c>
      <c r="T115" s="24">
        <v>72</v>
      </c>
      <c r="U115" s="24">
        <v>970</v>
      </c>
      <c r="V115" s="24">
        <f t="shared" si="32"/>
        <v>69840</v>
      </c>
      <c r="W115" s="24">
        <v>0</v>
      </c>
      <c r="X115" s="24">
        <f t="shared" si="43"/>
        <v>69840</v>
      </c>
      <c r="Y115" s="28"/>
      <c r="Z115" s="14"/>
      <c r="AB115" s="13">
        <v>24.006</v>
      </c>
      <c r="AC115" s="13" t="s">
        <v>1138</v>
      </c>
      <c r="AD115" s="13">
        <v>24.006</v>
      </c>
      <c r="AE115" s="13" t="s">
        <v>110</v>
      </c>
      <c r="AF115" s="13" t="s">
        <v>110</v>
      </c>
      <c r="AG115" s="13" t="s">
        <v>110</v>
      </c>
      <c r="AH115" s="13" t="s">
        <v>110</v>
      </c>
      <c r="AI115" s="13" t="s">
        <v>110</v>
      </c>
      <c r="AJ115" s="13" t="s">
        <v>110</v>
      </c>
      <c r="AK115" s="13">
        <v>24060</v>
      </c>
      <c r="AL115" s="16" t="s">
        <v>1140</v>
      </c>
      <c r="AM115" s="13" t="s">
        <v>246</v>
      </c>
      <c r="AN115" s="16">
        <v>20911</v>
      </c>
      <c r="AO115" s="13" t="s">
        <v>1141</v>
      </c>
      <c r="AP115" s="13" t="s">
        <v>115</v>
      </c>
      <c r="AQ115" s="13" t="s">
        <v>1077</v>
      </c>
      <c r="AR115" s="13" t="s">
        <v>1077</v>
      </c>
      <c r="AS115" s="13">
        <v>72042190</v>
      </c>
      <c r="AT115" s="13" t="s">
        <v>117</v>
      </c>
      <c r="AU115" s="13" t="s">
        <v>1145</v>
      </c>
      <c r="AV115" s="16" t="s">
        <v>119</v>
      </c>
      <c r="AW115" s="24">
        <v>800</v>
      </c>
      <c r="AX115" s="13" t="s">
        <v>1146</v>
      </c>
      <c r="AY115" s="13">
        <v>9000103593</v>
      </c>
      <c r="AZ115" s="14">
        <v>46259</v>
      </c>
      <c r="BA115" s="45">
        <v>24.006</v>
      </c>
      <c r="BB115" s="24">
        <v>970</v>
      </c>
      <c r="BC115" s="24">
        <v>0</v>
      </c>
      <c r="BD115" s="24">
        <v>95.64</v>
      </c>
      <c r="BE115" s="24">
        <f t="shared" si="36"/>
        <v>23285.82</v>
      </c>
      <c r="BF115" s="18">
        <v>0</v>
      </c>
      <c r="BG115" s="13" t="s">
        <v>110</v>
      </c>
      <c r="BH115" s="20">
        <f t="shared" si="42"/>
        <v>23285.82</v>
      </c>
      <c r="BI115" s="24">
        <f t="shared" si="28"/>
        <v>2282010.36</v>
      </c>
      <c r="BJ115" s="18">
        <f t="shared" si="37"/>
        <v>23285.82</v>
      </c>
      <c r="BK115" s="24">
        <f t="shared" si="29"/>
        <v>2698327.6737899999</v>
      </c>
      <c r="BL115" s="24">
        <f t="shared" si="47"/>
        <v>2227055.8248000001</v>
      </c>
      <c r="BM115" s="14">
        <v>46281</v>
      </c>
      <c r="BN115" s="24">
        <v>0</v>
      </c>
      <c r="BO115" s="24">
        <v>0</v>
      </c>
      <c r="BP115" s="24">
        <f t="shared" si="39"/>
        <v>0</v>
      </c>
      <c r="BQ115" s="24"/>
      <c r="BR115" s="13" t="s">
        <v>122</v>
      </c>
      <c r="BS115" s="13" t="s">
        <v>169</v>
      </c>
      <c r="BT115" s="13" t="s">
        <v>124</v>
      </c>
      <c r="BU115" s="13" t="s">
        <v>222</v>
      </c>
      <c r="BV115" s="13" t="s">
        <v>354</v>
      </c>
      <c r="BW115" s="16" t="s">
        <v>355</v>
      </c>
      <c r="BY115" s="13" t="s">
        <v>124</v>
      </c>
      <c r="BZ115" s="24">
        <v>30910</v>
      </c>
      <c r="CA115" s="18" t="s">
        <v>130</v>
      </c>
      <c r="CB115" s="22" t="s">
        <v>110</v>
      </c>
      <c r="CC115" s="33" t="s">
        <v>110</v>
      </c>
      <c r="CD115" s="18" t="s">
        <v>110</v>
      </c>
      <c r="CE115" s="24" t="s">
        <v>124</v>
      </c>
      <c r="CF115" s="13" t="s">
        <v>124</v>
      </c>
      <c r="CG115" s="13">
        <v>3786602</v>
      </c>
      <c r="CH115" s="13" t="s">
        <v>100</v>
      </c>
      <c r="CI115" s="24">
        <v>95.25</v>
      </c>
      <c r="CJ115" s="24">
        <f t="shared" si="30"/>
        <v>416317.31378999999</v>
      </c>
      <c r="CK115" s="24">
        <v>23285.82</v>
      </c>
      <c r="CL115" s="24">
        <f t="shared" si="53"/>
        <v>2217974</v>
      </c>
      <c r="CM115" s="24">
        <v>0</v>
      </c>
      <c r="CN115" s="18">
        <f t="shared" si="54"/>
        <v>2217974</v>
      </c>
      <c r="CO115" s="24">
        <f t="shared" si="50"/>
        <v>399235</v>
      </c>
      <c r="CP115" s="24">
        <v>1148</v>
      </c>
      <c r="CQ115" s="24">
        <f t="shared" si="34"/>
        <v>400383</v>
      </c>
      <c r="CR115" s="24"/>
      <c r="CS115" s="14">
        <v>46288</v>
      </c>
      <c r="CT115" s="13" t="s">
        <v>110</v>
      </c>
      <c r="CU115" s="13" t="s">
        <v>1147</v>
      </c>
      <c r="CV115" s="16" t="s">
        <v>1173</v>
      </c>
    </row>
    <row r="116" spans="1:100" s="13" customFormat="1" ht="43.2">
      <c r="A116" s="12" t="s">
        <v>288</v>
      </c>
      <c r="B116" s="13" t="str">
        <f t="shared" si="35"/>
        <v>622081</v>
      </c>
      <c r="C116" s="13" t="s">
        <v>571</v>
      </c>
      <c r="D116" s="13" t="s">
        <v>97</v>
      </c>
      <c r="E116" s="13">
        <v>275622081</v>
      </c>
      <c r="F116" s="14">
        <v>46293</v>
      </c>
      <c r="G116" s="43">
        <f>F116+13</f>
        <v>46306</v>
      </c>
      <c r="H116" s="15" t="s">
        <v>99</v>
      </c>
      <c r="I116" s="15" t="s">
        <v>172</v>
      </c>
      <c r="J116" s="15" t="s">
        <v>172</v>
      </c>
      <c r="K116" s="14">
        <v>46274</v>
      </c>
      <c r="L116" s="13">
        <v>1620021539</v>
      </c>
      <c r="M116" s="13">
        <f t="shared" si="31"/>
        <v>1</v>
      </c>
      <c r="N116" s="14">
        <v>46240</v>
      </c>
      <c r="O116" s="27" t="s">
        <v>101</v>
      </c>
      <c r="P116" s="16" t="s">
        <v>102</v>
      </c>
      <c r="Q116" s="17" t="s">
        <v>1136</v>
      </c>
      <c r="R116" s="13" t="s">
        <v>291</v>
      </c>
      <c r="S116" s="13" t="s">
        <v>292</v>
      </c>
      <c r="T116" s="24">
        <v>72</v>
      </c>
      <c r="U116" s="24">
        <v>970</v>
      </c>
      <c r="V116" s="24">
        <f t="shared" si="32"/>
        <v>69840</v>
      </c>
      <c r="W116" s="24">
        <v>0</v>
      </c>
      <c r="X116" s="24">
        <f t="shared" si="43"/>
        <v>69840</v>
      </c>
      <c r="Y116" s="28"/>
      <c r="Z116" s="14"/>
      <c r="AA116" s="13" t="s">
        <v>1148</v>
      </c>
      <c r="AB116" s="13">
        <v>24.53</v>
      </c>
      <c r="AC116" s="13" t="s">
        <v>211</v>
      </c>
      <c r="AD116" s="13" t="s">
        <v>211</v>
      </c>
      <c r="AE116" s="13" t="s">
        <v>110</v>
      </c>
      <c r="AF116" s="13" t="s">
        <v>110</v>
      </c>
      <c r="AG116" s="13" t="s">
        <v>110</v>
      </c>
      <c r="AH116" s="13" t="s">
        <v>110</v>
      </c>
      <c r="AI116" s="13" t="s">
        <v>110</v>
      </c>
      <c r="AJ116" s="13" t="s">
        <v>110</v>
      </c>
      <c r="AK116" s="13">
        <v>24590</v>
      </c>
      <c r="AL116" s="16" t="s">
        <v>1140</v>
      </c>
      <c r="AM116" s="13" t="s">
        <v>246</v>
      </c>
      <c r="AN116" s="16">
        <v>20826</v>
      </c>
      <c r="AO116" s="13" t="s">
        <v>1149</v>
      </c>
      <c r="AP116" s="13" t="s">
        <v>115</v>
      </c>
      <c r="AQ116" s="13" t="s">
        <v>1077</v>
      </c>
      <c r="AR116" s="13" t="s">
        <v>1077</v>
      </c>
      <c r="AS116" s="13">
        <v>72042190</v>
      </c>
      <c r="AT116" s="13" t="s">
        <v>117</v>
      </c>
      <c r="AV116" s="16" t="s">
        <v>119</v>
      </c>
      <c r="AW116" s="24">
        <v>800</v>
      </c>
      <c r="AX116" s="13" t="s">
        <v>1174</v>
      </c>
      <c r="AY116" s="13">
        <v>9000104195</v>
      </c>
      <c r="AZ116" s="14">
        <v>46274</v>
      </c>
      <c r="BA116" s="45">
        <v>24.53</v>
      </c>
      <c r="BB116" s="24">
        <v>970</v>
      </c>
      <c r="BC116" s="24">
        <v>0</v>
      </c>
      <c r="BD116" s="24">
        <v>0</v>
      </c>
      <c r="BE116" s="24">
        <f t="shared" si="36"/>
        <v>23794.100000000002</v>
      </c>
      <c r="BF116" s="18">
        <v>0</v>
      </c>
      <c r="BG116" s="13" t="s">
        <v>110</v>
      </c>
      <c r="BH116" s="20">
        <f t="shared" si="42"/>
        <v>23794.100000000002</v>
      </c>
      <c r="BI116" s="24">
        <f t="shared" si="28"/>
        <v>2331821.8000000003</v>
      </c>
      <c r="BJ116" s="18">
        <f t="shared" si="37"/>
        <v>23794.100000000002</v>
      </c>
      <c r="BK116" s="24">
        <f t="shared" si="29"/>
        <v>2757309.8609350002</v>
      </c>
      <c r="BL116" s="24">
        <f t="shared" si="47"/>
        <v>0</v>
      </c>
      <c r="BN116" s="24">
        <v>0</v>
      </c>
      <c r="BO116" s="24">
        <v>0</v>
      </c>
      <c r="BP116" s="24">
        <f t="shared" si="39"/>
        <v>0</v>
      </c>
      <c r="BQ116" s="24"/>
      <c r="BR116" s="13" t="s">
        <v>581</v>
      </c>
      <c r="BS116" s="13" t="s">
        <v>169</v>
      </c>
      <c r="BT116" s="13" t="s">
        <v>124</v>
      </c>
      <c r="BU116" s="13" t="s">
        <v>222</v>
      </c>
      <c r="BV116" s="13" t="s">
        <v>354</v>
      </c>
      <c r="BW116" s="16" t="s">
        <v>355</v>
      </c>
      <c r="BY116" s="13" t="s">
        <v>124</v>
      </c>
      <c r="BZ116" s="24">
        <v>30910</v>
      </c>
      <c r="CA116" s="18" t="s">
        <v>1143</v>
      </c>
      <c r="CB116" s="22" t="s">
        <v>110</v>
      </c>
      <c r="CC116" s="33" t="s">
        <v>110</v>
      </c>
      <c r="CD116" s="18" t="s">
        <v>110</v>
      </c>
      <c r="CE116" s="24" t="s">
        <v>124</v>
      </c>
      <c r="CF116" s="13" t="s">
        <v>124</v>
      </c>
      <c r="CH116" s="13" t="s">
        <v>172</v>
      </c>
      <c r="CI116" s="24"/>
      <c r="CJ116" s="24">
        <f t="shared" si="30"/>
        <v>425488.06093499996</v>
      </c>
      <c r="CK116" s="24"/>
      <c r="CL116" s="24">
        <f t="shared" si="53"/>
        <v>0</v>
      </c>
      <c r="CM116" s="24">
        <v>0</v>
      </c>
      <c r="CN116" s="18">
        <f t="shared" si="54"/>
        <v>0</v>
      </c>
      <c r="CO116" s="24">
        <f t="shared" si="50"/>
        <v>0</v>
      </c>
      <c r="CP116" s="24">
        <v>0</v>
      </c>
      <c r="CQ116" s="24">
        <f t="shared" si="34"/>
        <v>0</v>
      </c>
      <c r="CR116" s="24"/>
      <c r="CT116" s="13" t="s">
        <v>110</v>
      </c>
    </row>
    <row r="117" spans="1:100" s="13" customFormat="1" ht="43.2">
      <c r="A117" s="12" t="s">
        <v>288</v>
      </c>
      <c r="C117" s="13" t="s">
        <v>571</v>
      </c>
      <c r="D117" s="13" t="s">
        <v>97</v>
      </c>
      <c r="G117" s="14"/>
      <c r="H117" s="15" t="s">
        <v>99</v>
      </c>
      <c r="I117" s="15"/>
      <c r="J117" s="15"/>
      <c r="L117" s="13">
        <v>1620021553</v>
      </c>
      <c r="M117" s="13">
        <f t="shared" si="31"/>
        <v>0</v>
      </c>
      <c r="N117" s="14">
        <v>46245</v>
      </c>
      <c r="O117" s="27"/>
      <c r="P117" s="16" t="s">
        <v>102</v>
      </c>
      <c r="Q117" s="17" t="s">
        <v>954</v>
      </c>
      <c r="R117" s="13" t="s">
        <v>955</v>
      </c>
      <c r="S117" s="13" t="s">
        <v>956</v>
      </c>
      <c r="T117" s="24">
        <v>22</v>
      </c>
      <c r="U117" s="24">
        <v>3125</v>
      </c>
      <c r="V117" s="24">
        <f t="shared" si="32"/>
        <v>68750</v>
      </c>
      <c r="W117" s="24">
        <v>0</v>
      </c>
      <c r="X117" s="24">
        <f t="shared" si="43"/>
        <v>68750</v>
      </c>
      <c r="Y117" s="28"/>
      <c r="Z117" s="14"/>
      <c r="AC117" s="13" t="s">
        <v>110</v>
      </c>
      <c r="AD117" s="13" t="s">
        <v>110</v>
      </c>
      <c r="AE117" s="13" t="s">
        <v>110</v>
      </c>
      <c r="AF117" s="13" t="s">
        <v>110</v>
      </c>
      <c r="AG117" s="13" t="s">
        <v>110</v>
      </c>
      <c r="AH117" s="13" t="s">
        <v>110</v>
      </c>
      <c r="AI117" s="13" t="s">
        <v>110</v>
      </c>
      <c r="AJ117" s="13" t="s">
        <v>110</v>
      </c>
      <c r="AL117" s="13" t="s">
        <v>110</v>
      </c>
      <c r="AM117" s="13" t="s">
        <v>112</v>
      </c>
      <c r="AN117" s="16"/>
      <c r="AQ117" s="13" t="s">
        <v>1077</v>
      </c>
      <c r="AR117" s="13" t="s">
        <v>1077</v>
      </c>
      <c r="AS117" s="13">
        <v>72042190</v>
      </c>
      <c r="AT117" s="13" t="s">
        <v>117</v>
      </c>
      <c r="AW117" s="24"/>
      <c r="BA117" s="45"/>
      <c r="BB117" s="24"/>
      <c r="BC117" s="24">
        <v>0</v>
      </c>
      <c r="BD117" s="24">
        <v>0</v>
      </c>
      <c r="BE117" s="24">
        <f t="shared" si="36"/>
        <v>0</v>
      </c>
      <c r="BF117" s="18">
        <v>0</v>
      </c>
      <c r="BG117" s="13" t="s">
        <v>110</v>
      </c>
      <c r="BH117" s="20">
        <f t="shared" si="42"/>
        <v>0</v>
      </c>
      <c r="BI117" s="24">
        <f t="shared" si="28"/>
        <v>0</v>
      </c>
      <c r="BJ117" s="18">
        <f t="shared" si="37"/>
        <v>0</v>
      </c>
      <c r="BK117" s="24">
        <f t="shared" si="29"/>
        <v>0</v>
      </c>
      <c r="BL117" s="24">
        <f t="shared" si="47"/>
        <v>0</v>
      </c>
      <c r="BN117" s="24">
        <v>0</v>
      </c>
      <c r="BO117" s="24">
        <v>0</v>
      </c>
      <c r="BP117" s="24">
        <f t="shared" si="39"/>
        <v>0</v>
      </c>
      <c r="BQ117" s="24"/>
      <c r="BR117" s="13" t="s">
        <v>581</v>
      </c>
      <c r="BS117" s="13" t="s">
        <v>169</v>
      </c>
      <c r="BT117" s="13" t="s">
        <v>124</v>
      </c>
      <c r="BW117" s="16"/>
      <c r="BY117" s="13" t="s">
        <v>124</v>
      </c>
      <c r="BZ117" s="24"/>
      <c r="CA117" s="24"/>
      <c r="CB117" s="22" t="s">
        <v>110</v>
      </c>
      <c r="CC117" s="33" t="s">
        <v>110</v>
      </c>
      <c r="CD117" s="18" t="s">
        <v>110</v>
      </c>
      <c r="CE117" s="24" t="s">
        <v>124</v>
      </c>
      <c r="CF117" s="13" t="s">
        <v>124</v>
      </c>
      <c r="CH117" s="13" t="s">
        <v>172</v>
      </c>
      <c r="CI117" s="24"/>
      <c r="CJ117" s="24">
        <f t="shared" si="30"/>
        <v>0</v>
      </c>
      <c r="CK117" s="24"/>
      <c r="CL117" s="24">
        <f t="shared" si="53"/>
        <v>0</v>
      </c>
      <c r="CM117" s="24">
        <v>0</v>
      </c>
      <c r="CN117" s="18">
        <f t="shared" si="54"/>
        <v>0</v>
      </c>
      <c r="CO117" s="24">
        <f t="shared" si="50"/>
        <v>0</v>
      </c>
      <c r="CP117" s="24">
        <v>0</v>
      </c>
      <c r="CQ117" s="24">
        <f t="shared" si="34"/>
        <v>0</v>
      </c>
      <c r="CR117" s="24"/>
      <c r="CT117" s="13" t="s">
        <v>110</v>
      </c>
    </row>
    <row r="118" spans="1:100" s="13" customFormat="1" ht="43.2">
      <c r="A118" s="12" t="s">
        <v>288</v>
      </c>
      <c r="C118" s="13" t="s">
        <v>571</v>
      </c>
      <c r="D118" s="13" t="s">
        <v>97</v>
      </c>
      <c r="G118" s="14"/>
      <c r="H118" s="15" t="s">
        <v>99</v>
      </c>
      <c r="I118" s="15"/>
      <c r="J118" s="15"/>
      <c r="L118" s="13">
        <v>1620021554</v>
      </c>
      <c r="M118" s="13">
        <f t="shared" si="31"/>
        <v>0</v>
      </c>
      <c r="N118" s="14">
        <v>46245</v>
      </c>
      <c r="O118" s="27"/>
      <c r="P118" s="16" t="s">
        <v>102</v>
      </c>
      <c r="Q118" s="17" t="s">
        <v>824</v>
      </c>
      <c r="R118" s="13" t="s">
        <v>825</v>
      </c>
      <c r="S118" s="13" t="s">
        <v>826</v>
      </c>
      <c r="T118" s="24">
        <v>22</v>
      </c>
      <c r="U118" s="24">
        <v>2640</v>
      </c>
      <c r="V118" s="24">
        <f t="shared" si="32"/>
        <v>58080</v>
      </c>
      <c r="W118" s="24">
        <v>0</v>
      </c>
      <c r="X118" s="24">
        <f t="shared" si="43"/>
        <v>58080</v>
      </c>
      <c r="Y118" s="28"/>
      <c r="Z118" s="14"/>
      <c r="AC118" s="13" t="s">
        <v>110</v>
      </c>
      <c r="AD118" s="13" t="s">
        <v>110</v>
      </c>
      <c r="AE118" s="13" t="s">
        <v>110</v>
      </c>
      <c r="AF118" s="13" t="s">
        <v>110</v>
      </c>
      <c r="AG118" s="13" t="s">
        <v>110</v>
      </c>
      <c r="AH118" s="13" t="s">
        <v>110</v>
      </c>
      <c r="AI118" s="13" t="s">
        <v>110</v>
      </c>
      <c r="AJ118" s="13" t="s">
        <v>110</v>
      </c>
      <c r="AL118" s="13" t="s">
        <v>110</v>
      </c>
      <c r="AM118" s="13" t="s">
        <v>246</v>
      </c>
      <c r="AN118" s="16"/>
      <c r="AQ118" s="13" t="s">
        <v>1077</v>
      </c>
      <c r="AR118" s="13" t="s">
        <v>1077</v>
      </c>
      <c r="AS118" s="13">
        <v>72042190</v>
      </c>
      <c r="AT118" s="13" t="s">
        <v>117</v>
      </c>
      <c r="AW118" s="24"/>
      <c r="BA118" s="45"/>
      <c r="BB118" s="24"/>
      <c r="BC118" s="24">
        <v>0</v>
      </c>
      <c r="BD118" s="24">
        <v>0</v>
      </c>
      <c r="BE118" s="24">
        <f t="shared" si="36"/>
        <v>0</v>
      </c>
      <c r="BF118" s="18">
        <v>0</v>
      </c>
      <c r="BG118" s="13" t="s">
        <v>110</v>
      </c>
      <c r="BH118" s="20">
        <f t="shared" si="42"/>
        <v>0</v>
      </c>
      <c r="BI118" s="24">
        <f t="shared" si="28"/>
        <v>0</v>
      </c>
      <c r="BJ118" s="18">
        <f t="shared" si="37"/>
        <v>0</v>
      </c>
      <c r="BK118" s="24">
        <f t="shared" si="29"/>
        <v>0</v>
      </c>
      <c r="BL118" s="24">
        <f t="shared" si="47"/>
        <v>0</v>
      </c>
      <c r="BN118" s="24">
        <v>0</v>
      </c>
      <c r="BO118" s="24">
        <v>0</v>
      </c>
      <c r="BP118" s="24">
        <f t="shared" si="39"/>
        <v>0</v>
      </c>
      <c r="BQ118" s="24"/>
      <c r="BR118" s="13" t="s">
        <v>581</v>
      </c>
      <c r="BS118" s="13" t="s">
        <v>169</v>
      </c>
      <c r="BT118" s="13" t="s">
        <v>124</v>
      </c>
      <c r="BW118" s="16"/>
      <c r="BY118" s="13" t="s">
        <v>124</v>
      </c>
      <c r="BZ118" s="24"/>
      <c r="CA118" s="24"/>
      <c r="CB118" s="22" t="s">
        <v>110</v>
      </c>
      <c r="CC118" s="33" t="s">
        <v>110</v>
      </c>
      <c r="CD118" s="18" t="s">
        <v>110</v>
      </c>
      <c r="CE118" s="24" t="s">
        <v>124</v>
      </c>
      <c r="CF118" s="13" t="s">
        <v>124</v>
      </c>
      <c r="CH118" s="13" t="s">
        <v>172</v>
      </c>
      <c r="CI118" s="24"/>
      <c r="CJ118" s="24">
        <f t="shared" si="30"/>
        <v>0</v>
      </c>
      <c r="CK118" s="24"/>
      <c r="CL118" s="24">
        <f t="shared" si="53"/>
        <v>0</v>
      </c>
      <c r="CM118" s="24">
        <v>0</v>
      </c>
      <c r="CN118" s="18">
        <f t="shared" si="54"/>
        <v>0</v>
      </c>
      <c r="CO118" s="24">
        <f t="shared" si="50"/>
        <v>0</v>
      </c>
      <c r="CP118" s="24">
        <v>0</v>
      </c>
      <c r="CQ118" s="24">
        <f t="shared" si="34"/>
        <v>0</v>
      </c>
      <c r="CR118" s="24"/>
      <c r="CT118" s="13" t="s">
        <v>110</v>
      </c>
    </row>
    <row r="119" spans="1:100" s="13" customFormat="1" ht="28.8">
      <c r="A119" s="12" t="s">
        <v>288</v>
      </c>
      <c r="C119" s="13" t="s">
        <v>571</v>
      </c>
      <c r="D119" s="13" t="s">
        <v>97</v>
      </c>
      <c r="G119" s="14"/>
      <c r="H119" s="15" t="s">
        <v>99</v>
      </c>
      <c r="I119" s="15"/>
      <c r="J119" s="15"/>
      <c r="L119" s="13">
        <v>1620021570</v>
      </c>
      <c r="M119" s="13">
        <f t="shared" si="31"/>
        <v>0</v>
      </c>
      <c r="N119" s="14">
        <v>46251</v>
      </c>
      <c r="O119" s="27"/>
      <c r="P119" s="16" t="s">
        <v>370</v>
      </c>
      <c r="Q119" s="17" t="s">
        <v>1150</v>
      </c>
      <c r="R119" s="16" t="s">
        <v>1151</v>
      </c>
      <c r="S119" s="16" t="s">
        <v>1152</v>
      </c>
      <c r="T119" s="13">
        <v>21</v>
      </c>
      <c r="U119" s="24">
        <v>7225</v>
      </c>
      <c r="V119" s="24">
        <f t="shared" si="32"/>
        <v>151725</v>
      </c>
      <c r="W119" s="24">
        <v>0</v>
      </c>
      <c r="X119" s="24">
        <f t="shared" si="43"/>
        <v>151725</v>
      </c>
      <c r="Y119" s="28"/>
      <c r="Z119" s="14"/>
      <c r="AC119" s="13" t="s">
        <v>110</v>
      </c>
      <c r="AD119" s="13" t="s">
        <v>110</v>
      </c>
      <c r="AE119" s="13" t="s">
        <v>110</v>
      </c>
      <c r="AF119" s="13" t="s">
        <v>110</v>
      </c>
      <c r="AG119" s="13" t="s">
        <v>110</v>
      </c>
      <c r="AH119" s="13" t="s">
        <v>110</v>
      </c>
      <c r="AI119" s="13" t="s">
        <v>110</v>
      </c>
      <c r="AJ119" s="13" t="s">
        <v>110</v>
      </c>
      <c r="AL119" s="13" t="s">
        <v>110</v>
      </c>
      <c r="AM119" s="13" t="s">
        <v>112</v>
      </c>
      <c r="AN119" s="16"/>
      <c r="AQ119" s="13" t="s">
        <v>1077</v>
      </c>
      <c r="AR119" s="13" t="s">
        <v>1077</v>
      </c>
      <c r="AT119" s="13" t="s">
        <v>117</v>
      </c>
      <c r="AW119" s="24"/>
      <c r="BA119" s="45"/>
      <c r="BB119" s="24"/>
      <c r="BC119" s="24">
        <v>0</v>
      </c>
      <c r="BD119" s="24">
        <v>0</v>
      </c>
      <c r="BE119" s="24">
        <f t="shared" si="36"/>
        <v>0</v>
      </c>
      <c r="BF119" s="18">
        <v>0</v>
      </c>
      <c r="BH119" s="20">
        <f t="shared" si="42"/>
        <v>0</v>
      </c>
      <c r="BI119" s="24">
        <f t="shared" si="28"/>
        <v>0</v>
      </c>
      <c r="BJ119" s="18">
        <f t="shared" si="37"/>
        <v>0</v>
      </c>
      <c r="BK119" s="24">
        <f t="shared" si="29"/>
        <v>0</v>
      </c>
      <c r="BL119" s="24">
        <f t="shared" si="47"/>
        <v>0</v>
      </c>
      <c r="BN119" s="24">
        <v>0</v>
      </c>
      <c r="BO119" s="24">
        <v>0</v>
      </c>
      <c r="BP119" s="24">
        <f t="shared" si="39"/>
        <v>0</v>
      </c>
      <c r="BQ119" s="24"/>
      <c r="BR119" s="13" t="s">
        <v>581</v>
      </c>
      <c r="BS119" s="13" t="s">
        <v>169</v>
      </c>
      <c r="BT119" s="13" t="s">
        <v>124</v>
      </c>
      <c r="BW119" s="16"/>
      <c r="BY119" s="13" t="s">
        <v>129</v>
      </c>
      <c r="BZ119" s="24"/>
      <c r="CA119" s="24"/>
      <c r="CB119" s="22" t="s">
        <v>110</v>
      </c>
      <c r="CC119" s="33" t="s">
        <v>110</v>
      </c>
      <c r="CD119" s="18" t="s">
        <v>110</v>
      </c>
      <c r="CE119" s="24" t="s">
        <v>124</v>
      </c>
      <c r="CF119" s="13" t="s">
        <v>124</v>
      </c>
      <c r="CH119" s="13" t="s">
        <v>172</v>
      </c>
      <c r="CI119" s="24"/>
      <c r="CJ119" s="24">
        <f t="shared" si="30"/>
        <v>0</v>
      </c>
      <c r="CK119" s="24"/>
      <c r="CL119" s="24">
        <f t="shared" si="53"/>
        <v>0</v>
      </c>
      <c r="CM119" s="24">
        <v>0</v>
      </c>
      <c r="CN119" s="18">
        <f t="shared" si="54"/>
        <v>0</v>
      </c>
      <c r="CO119" s="24">
        <f t="shared" si="50"/>
        <v>0</v>
      </c>
      <c r="CP119" s="24">
        <v>0</v>
      </c>
      <c r="CQ119" s="24">
        <f t="shared" si="34"/>
        <v>0</v>
      </c>
      <c r="CR119" s="24"/>
      <c r="CT119" s="13" t="s">
        <v>110</v>
      </c>
    </row>
    <row r="120" spans="1:100" s="13" customFormat="1">
      <c r="A120" s="12" t="s">
        <v>288</v>
      </c>
      <c r="C120" s="13" t="s">
        <v>571</v>
      </c>
      <c r="D120" s="13" t="s">
        <v>97</v>
      </c>
      <c r="G120" s="14"/>
      <c r="H120" s="15" t="s">
        <v>99</v>
      </c>
      <c r="I120" s="15"/>
      <c r="J120" s="15"/>
      <c r="L120" s="13">
        <v>1620021607</v>
      </c>
      <c r="M120" s="13">
        <f t="shared" si="31"/>
        <v>0</v>
      </c>
      <c r="O120" s="16"/>
      <c r="Q120" s="17"/>
      <c r="V120" s="24"/>
      <c r="W120" s="24"/>
      <c r="X120" s="24"/>
      <c r="Y120" s="28"/>
      <c r="AN120" s="16"/>
      <c r="AW120" s="24"/>
      <c r="BA120" s="45"/>
      <c r="BB120" s="24"/>
      <c r="BC120" s="24"/>
      <c r="BD120" s="24"/>
      <c r="BE120" s="24"/>
      <c r="BI120" s="24">
        <f t="shared" si="28"/>
        <v>0</v>
      </c>
      <c r="BK120" s="24">
        <f t="shared" si="29"/>
        <v>0</v>
      </c>
      <c r="BN120" s="24"/>
      <c r="BO120" s="24"/>
      <c r="BP120" s="24"/>
      <c r="BQ120" s="24"/>
      <c r="BR120" s="13" t="s">
        <v>581</v>
      </c>
      <c r="BS120" s="13" t="s">
        <v>169</v>
      </c>
      <c r="BT120" s="13" t="s">
        <v>124</v>
      </c>
      <c r="BW120" s="16"/>
      <c r="BZ120" s="24"/>
      <c r="CA120" s="24"/>
      <c r="CC120" s="14"/>
      <c r="CE120" s="24" t="s">
        <v>124</v>
      </c>
      <c r="CF120" s="13" t="s">
        <v>124</v>
      </c>
      <c r="CH120" s="13" t="s">
        <v>172</v>
      </c>
      <c r="CI120" s="24"/>
      <c r="CJ120" s="24">
        <f t="shared" si="30"/>
        <v>0</v>
      </c>
      <c r="CK120" s="24"/>
      <c r="CL120" s="24">
        <f t="shared" si="53"/>
        <v>0</v>
      </c>
      <c r="CM120" s="24">
        <v>0</v>
      </c>
      <c r="CN120" s="24">
        <f t="shared" si="54"/>
        <v>0</v>
      </c>
      <c r="CO120" s="24">
        <f t="shared" si="50"/>
        <v>0</v>
      </c>
      <c r="CP120" s="24">
        <v>0</v>
      </c>
      <c r="CQ120" s="24">
        <f t="shared" si="34"/>
        <v>0</v>
      </c>
      <c r="CR120" s="24"/>
    </row>
    <row r="121" spans="1:100" s="13" customFormat="1" ht="43.2">
      <c r="A121" s="12" t="s">
        <v>288</v>
      </c>
      <c r="C121" s="13" t="s">
        <v>571</v>
      </c>
      <c r="D121" s="13" t="s">
        <v>97</v>
      </c>
      <c r="E121" s="32" t="s">
        <v>1153</v>
      </c>
      <c r="F121" s="14">
        <v>46274</v>
      </c>
      <c r="G121" s="43">
        <f>F121+13</f>
        <v>46287</v>
      </c>
      <c r="H121" s="15" t="s">
        <v>99</v>
      </c>
      <c r="I121" s="15" t="s">
        <v>100</v>
      </c>
      <c r="J121" s="15" t="s">
        <v>100</v>
      </c>
      <c r="K121" s="14">
        <v>46238</v>
      </c>
      <c r="M121" s="13">
        <f t="shared" si="31"/>
        <v>1</v>
      </c>
      <c r="O121" s="16" t="s">
        <v>1154</v>
      </c>
      <c r="P121" s="61" t="s">
        <v>1155</v>
      </c>
      <c r="Q121" s="17"/>
      <c r="V121" s="24"/>
      <c r="W121" s="24"/>
      <c r="X121" s="24"/>
      <c r="Y121" s="28"/>
      <c r="AA121" s="13" t="s">
        <v>1156</v>
      </c>
      <c r="AK121" s="13">
        <v>24201</v>
      </c>
      <c r="AM121" s="13" t="s">
        <v>246</v>
      </c>
      <c r="AN121" s="16">
        <v>1133531</v>
      </c>
      <c r="AO121" s="13" t="s">
        <v>1157</v>
      </c>
      <c r="AP121" s="13" t="s">
        <v>1158</v>
      </c>
      <c r="AQ121" s="13" t="s">
        <v>1077</v>
      </c>
      <c r="AR121" s="13" t="s">
        <v>1077</v>
      </c>
      <c r="AS121" s="16" t="s">
        <v>166</v>
      </c>
      <c r="AU121" s="13" t="s">
        <v>1159</v>
      </c>
      <c r="AV121" s="16" t="s">
        <v>119</v>
      </c>
      <c r="AW121" s="24">
        <v>800</v>
      </c>
      <c r="AX121" s="13" t="s">
        <v>1160</v>
      </c>
      <c r="AY121" s="13" t="s">
        <v>1161</v>
      </c>
      <c r="AZ121" s="14">
        <v>46262</v>
      </c>
      <c r="BA121" s="45">
        <v>24.201000000000001</v>
      </c>
      <c r="BB121" s="62">
        <v>4736.32</v>
      </c>
      <c r="BC121" s="24">
        <v>94.72</v>
      </c>
      <c r="BD121" s="24"/>
      <c r="BE121" s="24">
        <f t="shared" si="36"/>
        <v>114623.68032</v>
      </c>
      <c r="BG121" s="14">
        <v>46283</v>
      </c>
      <c r="BH121" s="20">
        <f t="shared" si="42"/>
        <v>114623.68032</v>
      </c>
      <c r="BI121" s="24">
        <f t="shared" si="28"/>
        <v>11233120.671359999</v>
      </c>
      <c r="BK121" s="24">
        <f t="shared" si="29"/>
        <v>11233120.671359999</v>
      </c>
      <c r="BL121" s="24">
        <f t="shared" si="47"/>
        <v>0</v>
      </c>
      <c r="BN121" s="24"/>
      <c r="BO121" s="24"/>
      <c r="BP121" s="24"/>
      <c r="BQ121" s="24"/>
      <c r="BR121" s="13" t="s">
        <v>581</v>
      </c>
      <c r="BS121" s="13" t="s">
        <v>169</v>
      </c>
      <c r="BT121" s="13" t="s">
        <v>124</v>
      </c>
      <c r="BU121" s="13" t="s">
        <v>1162</v>
      </c>
      <c r="BV121" s="13" t="s">
        <v>965</v>
      </c>
      <c r="BW121" s="16" t="s">
        <v>1163</v>
      </c>
      <c r="BZ121" s="24">
        <v>29240</v>
      </c>
      <c r="CA121" s="18" t="s">
        <v>130</v>
      </c>
      <c r="CC121" s="14"/>
      <c r="CE121" s="24" t="s">
        <v>124</v>
      </c>
      <c r="CF121" s="13" t="s">
        <v>124</v>
      </c>
      <c r="CG121" s="13">
        <v>3699085</v>
      </c>
      <c r="CH121" s="13" t="s">
        <v>172</v>
      </c>
      <c r="CI121" s="24">
        <v>95.25</v>
      </c>
      <c r="CJ121" s="24">
        <f t="shared" si="30"/>
        <v>0</v>
      </c>
      <c r="CK121" s="24">
        <v>114623.76</v>
      </c>
      <c r="CL121" s="24">
        <f t="shared" si="53"/>
        <v>10917913</v>
      </c>
      <c r="CM121" s="24">
        <v>0</v>
      </c>
      <c r="CN121" s="24">
        <f t="shared" si="54"/>
        <v>10917913</v>
      </c>
      <c r="CO121" s="24">
        <f t="shared" si="50"/>
        <v>1965224</v>
      </c>
      <c r="CP121" s="24">
        <v>0</v>
      </c>
      <c r="CQ121" s="24">
        <f t="shared" si="34"/>
        <v>1965224</v>
      </c>
      <c r="CR121" s="24"/>
      <c r="CS121" s="14">
        <v>46285</v>
      </c>
      <c r="CT121" s="13" t="s">
        <v>1164</v>
      </c>
    </row>
    <row r="122" spans="1:100" s="13" customFormat="1" ht="28.8">
      <c r="A122" s="13" t="s">
        <v>288</v>
      </c>
      <c r="C122" s="13" t="s">
        <v>571</v>
      </c>
      <c r="D122" s="13" t="s">
        <v>97</v>
      </c>
      <c r="G122" s="14"/>
      <c r="H122" s="15" t="s">
        <v>99</v>
      </c>
      <c r="I122" s="15"/>
      <c r="J122" s="15"/>
      <c r="L122" s="13">
        <v>1620021613</v>
      </c>
      <c r="M122" s="13">
        <f t="shared" si="31"/>
        <v>0</v>
      </c>
      <c r="N122" s="14">
        <v>46264</v>
      </c>
      <c r="O122" s="27"/>
      <c r="P122" s="16" t="s">
        <v>370</v>
      </c>
      <c r="Q122" s="17" t="s">
        <v>1165</v>
      </c>
      <c r="R122" s="13" t="s">
        <v>1166</v>
      </c>
      <c r="V122" s="24"/>
      <c r="W122" s="24"/>
      <c r="X122" s="24"/>
      <c r="Y122" s="28"/>
      <c r="AN122" s="16"/>
      <c r="AW122" s="24"/>
      <c r="BA122" s="45"/>
      <c r="BB122" s="59"/>
      <c r="BC122" s="24"/>
      <c r="BD122" s="24"/>
      <c r="BE122" s="24"/>
      <c r="BI122" s="24">
        <f t="shared" si="28"/>
        <v>0</v>
      </c>
      <c r="BK122" s="24">
        <f t="shared" si="29"/>
        <v>0</v>
      </c>
      <c r="BN122" s="24"/>
      <c r="BO122" s="24"/>
      <c r="BP122" s="24"/>
      <c r="BQ122" s="24"/>
      <c r="BR122" s="13" t="s">
        <v>581</v>
      </c>
      <c r="BS122" s="13" t="s">
        <v>169</v>
      </c>
      <c r="BT122" s="13" t="s">
        <v>124</v>
      </c>
      <c r="BW122" s="16"/>
      <c r="BZ122" s="24"/>
      <c r="CA122" s="24"/>
      <c r="CC122" s="14"/>
      <c r="CE122" s="24" t="s">
        <v>124</v>
      </c>
      <c r="CF122" s="13" t="s">
        <v>124</v>
      </c>
      <c r="CH122" s="13" t="s">
        <v>172</v>
      </c>
      <c r="CI122" s="24"/>
      <c r="CJ122" s="24">
        <f t="shared" si="30"/>
        <v>0</v>
      </c>
      <c r="CK122" s="24"/>
      <c r="CL122" s="24">
        <f t="shared" si="53"/>
        <v>0</v>
      </c>
      <c r="CM122" s="24">
        <v>0</v>
      </c>
      <c r="CN122" s="24">
        <f t="shared" si="54"/>
        <v>0</v>
      </c>
      <c r="CO122" s="24">
        <f t="shared" si="50"/>
        <v>0</v>
      </c>
      <c r="CP122" s="24">
        <v>0</v>
      </c>
      <c r="CQ122" s="24">
        <f t="shared" si="34"/>
        <v>0</v>
      </c>
      <c r="CR122" s="24"/>
    </row>
    <row r="123" spans="1:100" s="13" customFormat="1" ht="43.2">
      <c r="A123" s="13" t="s">
        <v>288</v>
      </c>
      <c r="C123" s="13" t="s">
        <v>571</v>
      </c>
      <c r="D123" s="13" t="s">
        <v>97</v>
      </c>
      <c r="G123" s="14"/>
      <c r="H123" s="15" t="s">
        <v>99</v>
      </c>
      <c r="I123" s="15"/>
      <c r="J123" s="15"/>
      <c r="L123" s="13">
        <v>1620021624</v>
      </c>
      <c r="M123" s="13">
        <f t="shared" si="31"/>
        <v>0</v>
      </c>
      <c r="N123" s="14">
        <v>46265</v>
      </c>
      <c r="O123" s="27"/>
      <c r="P123" s="16" t="s">
        <v>102</v>
      </c>
      <c r="Q123" s="17" t="s">
        <v>1167</v>
      </c>
      <c r="R123" s="13" t="s">
        <v>1168</v>
      </c>
      <c r="T123" s="13">
        <v>50</v>
      </c>
      <c r="U123" s="13">
        <v>735</v>
      </c>
      <c r="V123" s="24">
        <f t="shared" ref="V123:V124" si="55">+T123*U123</f>
        <v>36750</v>
      </c>
      <c r="W123" s="24"/>
      <c r="X123" s="24"/>
      <c r="Y123" s="28"/>
      <c r="AN123" s="16"/>
      <c r="AW123" s="24"/>
      <c r="BA123" s="45"/>
      <c r="BB123" s="24"/>
      <c r="BC123" s="24"/>
      <c r="BD123" s="24"/>
      <c r="BE123" s="24"/>
      <c r="BI123" s="24">
        <f t="shared" si="28"/>
        <v>0</v>
      </c>
      <c r="BK123" s="24">
        <f t="shared" si="29"/>
        <v>0</v>
      </c>
      <c r="BN123" s="24"/>
      <c r="BO123" s="24"/>
      <c r="BP123" s="24"/>
      <c r="BQ123" s="24"/>
      <c r="BR123" s="13" t="s">
        <v>581</v>
      </c>
      <c r="BS123" s="13" t="s">
        <v>169</v>
      </c>
      <c r="BT123" s="13" t="s">
        <v>124</v>
      </c>
      <c r="BW123" s="16"/>
      <c r="BZ123" s="24"/>
      <c r="CA123" s="24"/>
      <c r="CC123" s="14"/>
      <c r="CE123" s="24" t="s">
        <v>124</v>
      </c>
      <c r="CF123" s="13" t="s">
        <v>124</v>
      </c>
      <c r="CH123" s="13" t="s">
        <v>172</v>
      </c>
      <c r="CI123" s="24"/>
      <c r="CJ123" s="24">
        <f t="shared" si="30"/>
        <v>0</v>
      </c>
      <c r="CK123" s="24"/>
      <c r="CL123" s="24">
        <f t="shared" si="53"/>
        <v>0</v>
      </c>
      <c r="CM123" s="24">
        <v>0</v>
      </c>
      <c r="CN123" s="24">
        <f t="shared" si="54"/>
        <v>0</v>
      </c>
      <c r="CO123" s="24">
        <f t="shared" si="50"/>
        <v>0</v>
      </c>
      <c r="CP123" s="24">
        <v>0</v>
      </c>
      <c r="CQ123" s="24">
        <f t="shared" si="34"/>
        <v>0</v>
      </c>
      <c r="CR123" s="24"/>
    </row>
    <row r="124" spans="1:100" s="13" customFormat="1" ht="28.8">
      <c r="A124" s="13" t="s">
        <v>288</v>
      </c>
      <c r="C124" s="13" t="s">
        <v>571</v>
      </c>
      <c r="D124" s="13" t="s">
        <v>97</v>
      </c>
      <c r="G124" s="14"/>
      <c r="H124" s="15" t="s">
        <v>99</v>
      </c>
      <c r="I124" s="15"/>
      <c r="J124" s="15"/>
      <c r="L124" s="13">
        <v>1620021607</v>
      </c>
      <c r="M124" s="13">
        <f t="shared" si="31"/>
        <v>0</v>
      </c>
      <c r="N124" s="14">
        <v>46260</v>
      </c>
      <c r="O124" s="27"/>
      <c r="P124" s="16" t="s">
        <v>370</v>
      </c>
      <c r="Q124" s="17" t="s">
        <v>1169</v>
      </c>
      <c r="T124" s="13">
        <v>40</v>
      </c>
      <c r="U124" s="13">
        <v>2360</v>
      </c>
      <c r="V124" s="24">
        <f t="shared" si="55"/>
        <v>94400</v>
      </c>
      <c r="W124" s="24"/>
      <c r="X124" s="24"/>
      <c r="Y124" s="28"/>
      <c r="AN124" s="16"/>
      <c r="AW124" s="24"/>
      <c r="BA124" s="45"/>
      <c r="BB124" s="24"/>
      <c r="BC124" s="24"/>
      <c r="BD124" s="24"/>
      <c r="BE124" s="24"/>
      <c r="BI124" s="24">
        <f t="shared" si="28"/>
        <v>0</v>
      </c>
      <c r="BK124" s="24">
        <f t="shared" si="29"/>
        <v>0</v>
      </c>
      <c r="BN124" s="24"/>
      <c r="BO124" s="24"/>
      <c r="BP124" s="24"/>
      <c r="BQ124" s="24"/>
      <c r="BR124" s="13" t="s">
        <v>581</v>
      </c>
      <c r="BS124" s="13" t="s">
        <v>169</v>
      </c>
      <c r="BT124" s="13" t="s">
        <v>124</v>
      </c>
      <c r="BW124" s="16"/>
      <c r="BZ124" s="24"/>
      <c r="CA124" s="24"/>
      <c r="CC124" s="14"/>
      <c r="CE124" s="24" t="s">
        <v>124</v>
      </c>
      <c r="CF124" s="13" t="s">
        <v>124</v>
      </c>
      <c r="CH124" s="13" t="s">
        <v>172</v>
      </c>
      <c r="CI124" s="24"/>
      <c r="CJ124" s="24">
        <f t="shared" si="30"/>
        <v>0</v>
      </c>
      <c r="CK124" s="24"/>
      <c r="CL124" s="24">
        <f t="shared" si="53"/>
        <v>0</v>
      </c>
      <c r="CM124" s="24">
        <v>0</v>
      </c>
      <c r="CN124" s="24">
        <f t="shared" si="54"/>
        <v>0</v>
      </c>
      <c r="CO124" s="24">
        <f t="shared" si="50"/>
        <v>0</v>
      </c>
      <c r="CP124" s="24">
        <v>0</v>
      </c>
      <c r="CQ124" s="24">
        <f t="shared" si="34"/>
        <v>0</v>
      </c>
      <c r="CR124" s="24"/>
    </row>
    <row r="125" spans="1:100" s="13" customFormat="1" ht="28.8">
      <c r="A125" s="13" t="s">
        <v>288</v>
      </c>
      <c r="C125" s="13" t="s">
        <v>571</v>
      </c>
      <c r="D125" s="13" t="s">
        <v>97</v>
      </c>
      <c r="G125" s="14"/>
      <c r="H125" s="15" t="s">
        <v>99</v>
      </c>
      <c r="I125" s="15"/>
      <c r="J125" s="15"/>
      <c r="L125" s="13">
        <v>1620021643</v>
      </c>
      <c r="M125" s="13">
        <f t="shared" si="31"/>
        <v>0</v>
      </c>
      <c r="O125" s="16"/>
      <c r="P125" s="16" t="s">
        <v>370</v>
      </c>
      <c r="Q125" s="17"/>
      <c r="V125" s="24"/>
      <c r="W125" s="24"/>
      <c r="X125" s="24"/>
      <c r="Y125" s="28"/>
      <c r="AN125" s="16"/>
      <c r="AW125" s="24"/>
      <c r="BA125" s="45"/>
      <c r="BB125" s="24"/>
      <c r="BC125" s="24"/>
      <c r="BD125" s="24"/>
      <c r="BE125" s="24"/>
      <c r="BI125" s="24">
        <f t="shared" si="28"/>
        <v>0</v>
      </c>
      <c r="BK125" s="24">
        <f t="shared" si="29"/>
        <v>0</v>
      </c>
      <c r="BN125" s="24"/>
      <c r="BO125" s="24"/>
      <c r="BP125" s="24"/>
      <c r="BQ125" s="24"/>
      <c r="BW125" s="16"/>
      <c r="BZ125" s="24"/>
      <c r="CA125" s="24"/>
      <c r="CC125" s="14"/>
      <c r="CE125" s="24"/>
      <c r="CF125" s="16"/>
      <c r="CI125" s="24"/>
      <c r="CJ125" s="24">
        <f t="shared" si="30"/>
        <v>0</v>
      </c>
      <c r="CK125" s="24"/>
      <c r="CL125" s="24">
        <f t="shared" si="53"/>
        <v>0</v>
      </c>
      <c r="CM125" s="24">
        <v>0</v>
      </c>
      <c r="CN125" s="24">
        <f t="shared" si="54"/>
        <v>0</v>
      </c>
      <c r="CO125" s="24">
        <f t="shared" si="50"/>
        <v>0</v>
      </c>
      <c r="CP125" s="24">
        <v>0</v>
      </c>
      <c r="CQ125" s="24">
        <f t="shared" si="34"/>
        <v>0</v>
      </c>
      <c r="CR125" s="24"/>
    </row>
    <row r="126" spans="1:100" s="13" customFormat="1" ht="28.8">
      <c r="A126" s="13" t="s">
        <v>288</v>
      </c>
      <c r="C126" s="13" t="s">
        <v>571</v>
      </c>
      <c r="D126" s="13" t="s">
        <v>97</v>
      </c>
      <c r="G126" s="14"/>
      <c r="H126" s="15" t="s">
        <v>99</v>
      </c>
      <c r="I126" s="15"/>
      <c r="J126" s="15"/>
      <c r="L126" s="13">
        <v>1620021622</v>
      </c>
      <c r="M126" s="13">
        <f t="shared" si="31"/>
        <v>0</v>
      </c>
      <c r="N126" s="14">
        <v>46265</v>
      </c>
      <c r="O126" s="27"/>
      <c r="P126" s="16" t="s">
        <v>370</v>
      </c>
      <c r="Q126" s="17" t="s">
        <v>1170</v>
      </c>
      <c r="R126" s="13" t="s">
        <v>1171</v>
      </c>
      <c r="V126" s="24"/>
      <c r="W126" s="24"/>
      <c r="X126" s="24"/>
      <c r="Y126" s="28"/>
      <c r="AN126" s="16"/>
      <c r="AW126" s="24"/>
      <c r="BA126" s="45"/>
      <c r="BB126" s="24"/>
      <c r="BC126" s="24"/>
      <c r="BD126" s="24"/>
      <c r="BE126" s="24"/>
      <c r="BI126" s="24">
        <f t="shared" si="28"/>
        <v>0</v>
      </c>
      <c r="BK126" s="24">
        <f t="shared" si="29"/>
        <v>0</v>
      </c>
      <c r="BN126" s="24"/>
      <c r="BO126" s="24"/>
      <c r="BP126" s="24"/>
      <c r="BQ126" s="24"/>
      <c r="BW126" s="16"/>
      <c r="BZ126" s="24"/>
      <c r="CA126" s="24"/>
      <c r="CC126" s="14"/>
      <c r="CE126" s="24"/>
      <c r="CF126" s="16"/>
      <c r="CI126" s="24"/>
      <c r="CJ126" s="24">
        <f t="shared" si="30"/>
        <v>0</v>
      </c>
      <c r="CK126" s="24"/>
      <c r="CL126" s="24">
        <f t="shared" si="53"/>
        <v>0</v>
      </c>
      <c r="CM126" s="24">
        <v>0</v>
      </c>
      <c r="CN126" s="24">
        <f t="shared" si="54"/>
        <v>0</v>
      </c>
      <c r="CO126" s="24">
        <f t="shared" si="50"/>
        <v>0</v>
      </c>
      <c r="CP126" s="24">
        <v>0</v>
      </c>
      <c r="CQ126" s="24">
        <f t="shared" si="34"/>
        <v>0</v>
      </c>
      <c r="CR126" s="24"/>
    </row>
    <row r="127" spans="1:100" s="13" customFormat="1">
      <c r="A127" s="13" t="s">
        <v>288</v>
      </c>
      <c r="C127" s="13" t="s">
        <v>571</v>
      </c>
      <c r="D127" s="13" t="s">
        <v>97</v>
      </c>
      <c r="G127" s="14"/>
      <c r="H127" s="15" t="s">
        <v>99</v>
      </c>
      <c r="I127" s="15"/>
      <c r="J127" s="15"/>
      <c r="L127" s="13">
        <v>120009632</v>
      </c>
      <c r="M127" s="13">
        <f t="shared" si="31"/>
        <v>0</v>
      </c>
      <c r="O127" s="16"/>
      <c r="Q127" s="17"/>
      <c r="V127" s="24"/>
      <c r="W127" s="24"/>
      <c r="X127" s="24"/>
      <c r="Y127" s="28"/>
      <c r="AN127" s="16"/>
      <c r="AW127" s="24"/>
      <c r="BA127" s="45"/>
      <c r="BB127" s="24"/>
      <c r="BC127" s="24"/>
      <c r="BD127" s="24"/>
      <c r="BE127" s="24"/>
      <c r="BI127" s="24">
        <f t="shared" si="28"/>
        <v>0</v>
      </c>
      <c r="BK127" s="24">
        <f t="shared" si="29"/>
        <v>0</v>
      </c>
      <c r="BN127" s="24"/>
      <c r="BO127" s="24"/>
      <c r="BP127" s="24"/>
      <c r="BQ127" s="24"/>
      <c r="BW127" s="16"/>
      <c r="BZ127" s="24"/>
      <c r="CA127" s="24"/>
      <c r="CC127" s="14"/>
      <c r="CE127" s="24"/>
      <c r="CF127" s="16"/>
      <c r="CI127" s="24"/>
      <c r="CJ127" s="24">
        <f t="shared" si="30"/>
        <v>0</v>
      </c>
      <c r="CK127" s="24"/>
      <c r="CL127" s="24">
        <f t="shared" si="53"/>
        <v>0</v>
      </c>
      <c r="CM127" s="24">
        <v>0</v>
      </c>
      <c r="CN127" s="24">
        <f t="shared" si="54"/>
        <v>0</v>
      </c>
      <c r="CO127" s="24">
        <f t="shared" si="50"/>
        <v>0</v>
      </c>
      <c r="CP127" s="24">
        <v>0</v>
      </c>
      <c r="CQ127" s="24">
        <f t="shared" si="34"/>
        <v>0</v>
      </c>
      <c r="CR127" s="24"/>
    </row>
  </sheetData>
  <mergeCells count="1">
    <mergeCell ref="A1:CV2"/>
  </mergeCells>
  <dataValidations count="15">
    <dataValidation type="list" allowBlank="1" showInputMessage="1" showErrorMessage="1" sqref="BS5" xr:uid="{E1E9FF0D-410B-4587-BFC9-B88B6ADAE82A}">
      <formula1>"Released,In-Transit to Bank,At Bank,In-Transit to CHA,At CHA,At Seller,Pending,Soft Copy Received"</formula1>
    </dataValidation>
    <dataValidation type="list" allowBlank="1" showInputMessage="1" showErrorMessage="1" sqref="AV121 AV107 AV82:AV86 AV88:AV90 AV92 AV94:AV101 AV103 AV5:AV28 AV30:AV76 AV110:AV112 AV114:AV116" xr:uid="{5CDAADED-4EEA-4CF6-9831-77FC2C7EC9D8}">
      <formula1>"Filled,Pending"</formula1>
    </dataValidation>
    <dataValidation type="list" allowBlank="1" showInputMessage="1" showErrorMessage="1" sqref="CA5:CA45 CA121 CA82:CA86 CA88:CA90 CA111:CA116 CA47:CA54 CA66 CA68:CA70 CA75:CA76 CA72 CA56:CA63 CA92 CA94:CA96 CA98:CA99 CA103" xr:uid="{A6F5A0E5-0F22-49D2-B71C-219719C45511}">
      <formula1>"Paid,Unpaid"</formula1>
    </dataValidation>
    <dataValidation type="list" allowBlank="1" showInputMessage="1" showErrorMessage="1" sqref="D5:D127" xr:uid="{2D2AB97F-C76D-41DF-907F-F8CEED097798}">
      <formula1>"MSPL,MSI"</formula1>
    </dataValidation>
    <dataValidation type="list" allowBlank="1" showInputMessage="1" showErrorMessage="1" sqref="I122:J127 J120 I117:I120 I102 I104:I110" xr:uid="{10262EBC-1B33-427B-92F5-1FBD2FC7F498}">
      <formula1>"Surrenderred,CAD"</formula1>
    </dataValidation>
    <dataValidation type="list" allowBlank="1" showInputMessage="1" showErrorMessage="1" sqref="C5:C127" xr:uid="{16154F91-A0D4-4BEE-AB3D-BD972A0500E1}">
      <formula1>"Active,Closed"</formula1>
    </dataValidation>
    <dataValidation type="list" allowBlank="1" showInputMessage="1" showErrorMessage="1" sqref="J112:J119 CH104:CH124 CH5:CH99 I112:I113 I121:J121 I111:J111 I114:J116 I103 I98:I101 I5:J97 J98:J110" xr:uid="{A0AC2255-9F46-4C74-A710-EB7A598AB0D3}">
      <formula1>"Yes,No"</formula1>
    </dataValidation>
    <dataValidation type="list" allowBlank="1" showInputMessage="1" showErrorMessage="1" sqref="AR27:AR44 AQ5:AQ20 AR22:AR25 AR52:AR55 AQ103:AR105 AQ85:AR99 AR46:AR50 AR57:AR60 AQ22:AQ84 AR62:AR84" xr:uid="{98C578F6-C2B0-46BF-BAB8-DD2E60D0AD78}">
      <formula1>"MUNDRA, NHAVASHEVA"</formula1>
    </dataValidation>
    <dataValidation type="list" allowBlank="1" showInputMessage="1" showErrorMessage="1" sqref="AP5:AP11 AP13:AP28 AP85:AP98 AP103:AP105 AP32:AP81" xr:uid="{1E254632-43A9-478C-ABDA-E1B256C9B343}">
      <formula1>"Dammam,Jeddah"</formula1>
    </dataValidation>
    <dataValidation type="list" allowBlank="1" showInputMessage="1" showErrorMessage="1" sqref="AP12" xr:uid="{317BA898-6A50-4BCC-92E6-A8B908F4C754}">
      <formula1>"Dammam,Jeddah, Bahrain"</formula1>
    </dataValidation>
    <dataValidation type="list" allowBlank="1" showInputMessage="1" showErrorMessage="1" sqref="BS12:BS124 BS6:BS10" xr:uid="{3A6ACFD3-DCB9-4E0B-BD28-A244C1DD0725}">
      <formula1>"Released,In-Transit to Bank,At Bank,In-Transit to CHA,At CHA,At Seller"</formula1>
    </dataValidation>
    <dataValidation type="list" allowBlank="1" showInputMessage="1" showErrorMessage="1" sqref="BR12:BR124 BR5:BR10" xr:uid="{E15D115B-619F-47DE-B87D-ABA74E3E8F27}">
      <formula1>"Delivered,In-Transit"</formula1>
    </dataValidation>
    <dataValidation type="list" allowBlank="1" showInputMessage="1" showErrorMessage="1" sqref="AR5:AR20" xr:uid="{76588259-5E51-44E2-B63B-28B2864862E2}">
      <formula1>"MUNDRA, ICD KHODIYAR, NHAVASHEVA, NAGPUR"</formula1>
    </dataValidation>
    <dataValidation type="list" allowBlank="1" showInputMessage="1" showErrorMessage="1" sqref="H47:H54 H56:H63 H66 H68:H70 H72 H76 H82:H86 H88:H90 H92 H94:H96 H98:H99 H103 H112:H113 H115 H5:H45" xr:uid="{BDA2E582-C0F5-479C-B3E6-D3D8AE394085}">
      <formula1>"CAD,TT,SWB"</formula1>
    </dataValidation>
    <dataValidation type="list" allowBlank="1" showInputMessage="1" showErrorMessage="1" sqref="H46 H55 H64:H65 H67 H71 H73:H75 H77:H81 H87 H91 H93 H97 H100:H102 H104:H111 H114 H116:H127" xr:uid="{D477D9D9-FC73-47DA-BA2C-FC85DE5F9A64}">
      <formula1>"SWB,CAD,TT"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Compele Data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DMS-Marfani Steel Group</dc:creator>
  <cp:lastModifiedBy>Laxminarayan Patel</cp:lastModifiedBy>
  <dcterms:created xsi:type="dcterms:W3CDTF">2026-09-22T11:47:19Z</dcterms:created>
  <dcterms:modified xsi:type="dcterms:W3CDTF">2026-09-23T08:51:42Z</dcterms:modified>
</cp:coreProperties>
</file>